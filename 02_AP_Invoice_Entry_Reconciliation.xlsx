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6fdb8e60444f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be7b34fc87bd4a95"/>
    <x:sheet xmlns:r="http://schemas.openxmlformats.org/officeDocument/2006/relationships" name="Invoice Entry" sheetId="2" r:id="R9bb366120b064261"/>
    <x:sheet xmlns:r="http://schemas.openxmlformats.org/officeDocument/2006/relationships" name="PO &amp; Receipt Log" sheetId="3" r:id="Re72b4178934847b9"/>
    <x:sheet xmlns:r="http://schemas.openxmlformats.org/officeDocument/2006/relationships" name="AP Review" sheetId="4" r:id="Rafd62f379a4249c3"/>
    <x:sheet xmlns:r="http://schemas.openxmlformats.org/officeDocument/2006/relationships" name="Field Rules" sheetId="5" r:id="Rc81a71daff9c49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.00"/>
    <x:numFmt numFmtId="201" formatCode="yyyy-mm-dd"/>
  </x:numFmts>
  <x:fonts count="17">
    <x:font>
      <x:sz val="11"/>
      <x:name val="Carlito"/>
    </x:font>
    <x:font>
      <x:b/>
      <x:sz val="17"/>
      <x:color rgb="FF1F3A5F"/>
      <x:name val="Arial"/>
    </x:font>
    <x:font>
      <x:i/>
      <x:sz val="10"/>
      <x:color rgb="FF526174"/>
      <x:name val="Arial"/>
    </x:font>
    <x:font>
      <x:b/>
      <x:sz val="10"/>
      <x:color rgb="FFFFFFFF"/>
      <x:name val="Arial"/>
    </x:font>
    <x:font>
      <x:sz val="10"/>
      <x:color rgb="FF243247"/>
      <x:name val="Arial"/>
    </x:font>
    <x:font>
      <x:b/>
      <x:sz val="10"/>
      <x:color rgb="FF1F3A5F"/>
      <x:name val="Arial"/>
    </x:font>
    <x:font>
      <x:b/>
      <x:sz val="11"/>
      <x:color rgb="FF1F3A5F"/>
      <x:name val="Arial"/>
    </x:font>
    <x:font>
      <x:i/>
      <x:sz val="9"/>
      <x:color rgb="FF526174"/>
      <x:name val="Arial"/>
    </x:font>
    <x:font>
      <x:b/>
      <x:sz val="10"/>
      <x:color rgb="FF243247"/>
      <x:name val="Arial"/>
    </x:font>
    <x:font>
      <x:i/>
      <x:sz val="10"/>
      <x:color rgb="FF243247"/>
      <x:name val="Arial"/>
    </x:font>
    <x:font>
      <x:b/>
      <x:sz val="16"/>
      <x:color rgb="FF1F3A5F"/>
      <x:name val="Arial"/>
    </x:font>
    <x:font>
      <x:b/>
      <x:sz val="16"/>
      <x:color rgb="FF176B87"/>
      <x:name val="Arial"/>
    </x:font>
    <x:font>
      <x:i/>
      <x:sz val="10"/>
      <x:color rgb="FF64748B"/>
      <x:name val="Arial"/>
    </x:font>
    <x:font>
      <x:b/>
      <x:sz val="10"/>
      <x:color rgb="FF176B87"/>
      <x:name val="Arial"/>
    </x:font>
    <x:font>
      <x:b/>
      <x:sz val="16"/>
      <x:color rgb="FF3876A8"/>
      <x:name val="Arial"/>
    </x:font>
    <x:font>
      <x:b/>
      <x:sz val="16"/>
      <x:color rgb="FF18786C"/>
      <x:name val="Arial"/>
    </x:font>
    <x:font>
      <x:b/>
      <x:sz val="16"/>
      <x:color rgb="FFA56B1F"/>
      <x:name val="Arial"/>
    </x:font>
  </x:fonts>
  <x:fills count="23">
    <x:fill>
      <x:patternFill patternType="none"/>
    </x:fill>
    <x:fill>
      <x:patternFill patternType="gray125"/>
    </x:fill>
    <x:fill>
      <x:patternFill patternType="solid">
        <x:fgColor rgb="FF1F3A5F"/>
      </x:patternFill>
    </x:fill>
    <x:fill>
      <x:patternFill patternType="solid">
        <x:fgColor rgb="FFEAF1F8"/>
      </x:patternFill>
    </x:fill>
    <x:fill>
      <x:patternFill patternType="solid">
        <x:fgColor rgb="FFFFF7E0"/>
      </x:patternFill>
    </x:fill>
    <x:fill>
      <x:patternFill patternType="solid">
        <x:fgColor rgb="FF176B87"/>
      </x:patternFill>
    </x:fill>
    <x:fill>
      <x:patternFill patternType="solid">
        <x:fgColor rgb="FF2A82A6"/>
      </x:patternFill>
    </x:fill>
    <x:fill>
      <x:patternFill patternType="solid">
        <x:fgColor rgb="FF247A70"/>
      </x:patternFill>
    </x:fill>
    <x:fill>
      <x:patternFill patternType="solid">
        <x:fgColor rgb="FFB7791F"/>
      </x:patternFill>
    </x:fill>
    <x:fill>
      <x:patternFill patternType="solid">
        <x:fgColor rgb="FFF7FAFC"/>
      </x:patternFill>
    </x:fill>
    <x:fill>
      <x:patternFill patternType="solid">
        <x:fgColor rgb="FFDDEEF3"/>
      </x:patternFill>
    </x:fill>
    <x:fill>
      <x:patternFill patternType="solid">
        <x:fgColor rgb="FFC46D26"/>
      </x:patternFill>
    </x:fill>
    <x:fill>
      <x:patternFill patternType="solid">
        <x:fgColor rgb="FFFFF1E4"/>
      </x:patternFill>
    </x:fill>
    <x:fill>
      <x:patternFill patternType="solid">
        <x:fgColor rgb="FFFFFAF5"/>
      </x:patternFill>
    </x:fill>
    <x:fill>
      <x:patternFill patternType="solid">
        <x:fgColor rgb="FF3876A8"/>
      </x:patternFill>
    </x:fill>
    <x:fill>
      <x:patternFill patternType="solid">
        <x:fgColor rgb="FFECF4FB"/>
      </x:patternFill>
    </x:fill>
    <x:fill>
      <x:patternFill patternType="solid">
        <x:fgColor rgb="FFF6FAFD"/>
      </x:patternFill>
    </x:fill>
    <x:fill>
      <x:patternFill patternType="solid">
        <x:fgColor rgb="FF18786C"/>
      </x:patternFill>
    </x:fill>
    <x:fill>
      <x:patternFill patternType="solid">
        <x:fgColor rgb="FFE9F5F2"/>
      </x:patternFill>
    </x:fill>
    <x:fill>
      <x:patternFill patternType="solid">
        <x:fgColor rgb="FFF4FAF8"/>
      </x:patternFill>
    </x:fill>
    <x:fill>
      <x:patternFill patternType="solid">
        <x:fgColor rgb="FFA56B1F"/>
      </x:patternFill>
    </x:fill>
    <x:fill>
      <x:patternFill patternType="solid">
        <x:fgColor rgb="FFFFF5E3"/>
      </x:patternFill>
    </x:fill>
    <x:fill>
      <x:patternFill patternType="solid">
        <x:fgColor rgb="FFFFFBF4"/>
      </x:patternFill>
    </x:fill>
  </x:fills>
  <x:borders count="4">
    <x:border/>
    <x:border>
      <x:right style="thin">
        <x:color rgb="FFD9E2F0"/>
      </x:right>
    </x:border>
    <x:border>
      <x:left style="thin">
        <x:color rgb="FFD9E2F0"/>
      </x:left>
      <x:right style="thin">
        <x:color rgb="FFD9E2F0"/>
      </x:right>
    </x:border>
    <x:border>
      <x:left style="thin">
        <x:color rgb="FFD9E2F0"/>
      </x:left>
    </x:border>
  </x:borders>
  <x:cellStyleXfs count="1">
    <x:xf numFmtId="0" fontId="0" fillId="0" borderId="0"/>
  </x:cellStyleXfs>
  <x:cellXfs count="9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200" fontId="5" fillId="3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5" fillId="0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9" fillId="0" borderId="0" xfId="0" applyNumberFormat="1" applyFont="1" applyFill="1" applyBorder="1"/>
    <x:xf numFmtId="0" fontId="8" fillId="2" borderId="0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 applyAlignment="1">
      <x:alignment vertical="center" wrapText="1"/>
    </x:xf>
    <x:xf numFmtId="200" fontId="8" fillId="3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201" fontId="4" fillId="4" borderId="0" xfId="0" applyNumberFormat="1" applyFont="1" applyFill="1" applyBorder="1" applyAlignment="1">
      <x:alignment vertical="center"/>
    </x:xf>
    <x:xf numFmtId="200" fontId="4" fillId="4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201" fontId="4" fillId="4" borderId="2" xfId="0" applyNumberFormat="1" applyFont="1" applyFill="1" applyBorder="1" applyAlignment="1">
      <x:alignment vertical="center"/>
    </x:xf>
    <x:xf numFmtId="200" fontId="4" fillId="4" borderId="2" xfId="0" applyNumberFormat="1" applyFont="1" applyFill="1" applyBorder="1" applyAlignment="1">
      <x:alignment vertical="center"/>
    </x:xf>
    <x:xf numFmtId="0" fontId="4" fillId="4" borderId="3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200" fontId="4" fillId="3" borderId="2" xfId="0" applyNumberFormat="1" applyFont="1" applyFill="1" applyBorder="1" applyAlignment="1">
      <x:alignment vertical="center"/>
    </x:xf>
    <x:xf numFmtId="0" fontId="8" fillId="3" borderId="3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/>
    <x:xf numFmtId="0" fontId="12" fillId="0" borderId="0" xfId="0" applyNumberFormat="1" applyFont="1" applyFill="1" applyBorder="1"/>
    <x:xf numFmtId="0" fontId="3" fillId="5" borderId="0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/>
    <x:xf numFmtId="0" fontId="3" fillId="7" borderId="0" xfId="0" applyNumberFormat="1" applyFont="1" applyFill="1" applyBorder="1"/>
    <x:xf numFmtId="0" fontId="3" fillId="8" borderId="0" xfId="0" applyNumberFormat="1" applyFont="1" applyFill="1" applyBorder="1"/>
    <x:xf numFmtId="0" fontId="4" fillId="9" borderId="0" xfId="0" applyNumberFormat="1" applyFont="1" applyFill="1" applyBorder="1" applyAlignment="1">
      <x:alignment vertical="center" wrapText="1"/>
    </x:xf>
    <x:xf numFmtId="0" fontId="8" fillId="10" borderId="0" xfId="0" applyNumberFormat="1" applyFont="1" applyFill="1" applyBorder="1" applyAlignment="1">
      <x:alignment vertical="center" wrapText="1"/>
    </x:xf>
    <x:xf numFmtId="200" fontId="8" fillId="10" borderId="0" xfId="0" applyNumberFormat="1" applyFont="1" applyFill="1" applyBorder="1" applyAlignment="1">
      <x:alignment vertical="center" wrapText="1"/>
    </x:xf>
    <x:xf numFmtId="0" fontId="13" fillId="10" borderId="0" xfId="0" applyNumberFormat="1" applyFont="1" applyFill="1" applyBorder="1" applyAlignment="1">
      <x:alignment vertical="center" wrapText="1"/>
    </x:xf>
    <x:xf numFmtId="200" fontId="13" fillId="10" borderId="0" xfId="0" applyNumberFormat="1" applyFont="1" applyFill="1" applyBorder="1" applyAlignment="1">
      <x:alignment vertical="center" wrapText="1"/>
    </x:xf>
    <x:xf numFmtId="0" fontId="3" fillId="11" borderId="1" xfId="0" applyNumberFormat="1" applyFont="1" applyFill="1" applyBorder="1" applyAlignment="1">
      <x:alignment horizontal="center" vertical="center" wrapText="1"/>
    </x:xf>
    <x:xf numFmtId="0" fontId="3" fillId="11" borderId="2" xfId="0" applyNumberFormat="1" applyFont="1" applyFill="1" applyBorder="1" applyAlignment="1">
      <x:alignment horizontal="center" vertical="center" wrapText="1"/>
    </x:xf>
    <x:xf numFmtId="0" fontId="3" fillId="11" borderId="3" xfId="0" applyNumberFormat="1" applyFont="1" applyFill="1" applyBorder="1" applyAlignment="1">
      <x:alignment horizontal="center" vertical="center" wrapText="1"/>
    </x:xf>
    <x:xf numFmtId="0" fontId="4" fillId="12" borderId="1" xfId="0" applyNumberFormat="1" applyFont="1" applyFill="1" applyBorder="1" applyAlignment="1">
      <x:alignment vertical="center"/>
    </x:xf>
    <x:xf numFmtId="0" fontId="4" fillId="12" borderId="2" xfId="0" applyNumberFormat="1" applyFont="1" applyFill="1" applyBorder="1" applyAlignment="1">
      <x:alignment vertical="center"/>
    </x:xf>
    <x:xf numFmtId="201" fontId="4" fillId="12" borderId="2" xfId="0" applyNumberFormat="1" applyFont="1" applyFill="1" applyBorder="1" applyAlignment="1">
      <x:alignment vertical="center"/>
    </x:xf>
    <x:xf numFmtId="200" fontId="4" fillId="12" borderId="2" xfId="0" applyNumberFormat="1" applyFont="1" applyFill="1" applyBorder="1" applyAlignment="1">
      <x:alignment vertical="center"/>
    </x:xf>
    <x:xf numFmtId="0" fontId="4" fillId="12" borderId="3" xfId="0" applyNumberFormat="1" applyFont="1" applyFill="1" applyBorder="1" applyAlignment="1">
      <x:alignment vertical="center"/>
    </x:xf>
    <x:xf numFmtId="0" fontId="4" fillId="13" borderId="1" xfId="0" applyNumberFormat="1" applyFont="1" applyFill="1" applyBorder="1" applyAlignment="1">
      <x:alignment vertical="center"/>
    </x:xf>
    <x:xf numFmtId="0" fontId="4" fillId="13" borderId="2" xfId="0" applyNumberFormat="1" applyFont="1" applyFill="1" applyBorder="1" applyAlignment="1">
      <x:alignment vertical="center"/>
    </x:xf>
    <x:xf numFmtId="201" fontId="4" fillId="13" borderId="2" xfId="0" applyNumberFormat="1" applyFont="1" applyFill="1" applyBorder="1" applyAlignment="1">
      <x:alignment vertical="center"/>
    </x:xf>
    <x:xf numFmtId="200" fontId="4" fillId="13" borderId="2" xfId="0" applyNumberFormat="1" applyFont="1" applyFill="1" applyBorder="1" applyAlignment="1">
      <x:alignment vertical="center"/>
    </x:xf>
    <x:xf numFmtId="0" fontId="4" fillId="13" borderId="3" xfId="0" applyNumberFormat="1" applyFont="1" applyFill="1" applyBorder="1" applyAlignment="1">
      <x:alignment vertical="center"/>
    </x:xf>
    <x:xf numFmtId="0" fontId="14" fillId="0" borderId="0" xfId="0" applyNumberFormat="1" applyFont="1" applyFill="1" applyBorder="1"/>
    <x:xf numFmtId="0" fontId="3" fillId="14" borderId="1" xfId="0" applyNumberFormat="1" applyFont="1" applyFill="1" applyBorder="1" applyAlignment="1">
      <x:alignment horizontal="center" vertical="center" wrapText="1"/>
    </x:xf>
    <x:xf numFmtId="0" fontId="3" fillId="14" borderId="2" xfId="0" applyNumberFormat="1" applyFont="1" applyFill="1" applyBorder="1" applyAlignment="1">
      <x:alignment horizontal="center" vertical="center" wrapText="1"/>
    </x:xf>
    <x:xf numFmtId="0" fontId="3" fillId="14" borderId="3" xfId="0" applyNumberFormat="1" applyFont="1" applyFill="1" applyBorder="1" applyAlignment="1">
      <x:alignment horizontal="center" vertical="center" wrapText="1"/>
    </x:xf>
    <x:xf numFmtId="0" fontId="4" fillId="15" borderId="1" xfId="0" applyNumberFormat="1" applyFont="1" applyFill="1" applyBorder="1" applyAlignment="1">
      <x:alignment vertical="center"/>
    </x:xf>
    <x:xf numFmtId="0" fontId="4" fillId="15" borderId="2" xfId="0" applyNumberFormat="1" applyFont="1" applyFill="1" applyBorder="1" applyAlignment="1">
      <x:alignment vertical="center"/>
    </x:xf>
    <x:xf numFmtId="200" fontId="4" fillId="15" borderId="2" xfId="0" applyNumberFormat="1" applyFont="1" applyFill="1" applyBorder="1" applyAlignment="1">
      <x:alignment vertical="center"/>
    </x:xf>
    <x:xf numFmtId="0" fontId="4" fillId="15" borderId="3" xfId="0" applyNumberFormat="1" applyFont="1" applyFill="1" applyBorder="1" applyAlignment="1">
      <x:alignment vertical="center"/>
    </x:xf>
    <x:xf numFmtId="0" fontId="4" fillId="16" borderId="1" xfId="0" applyNumberFormat="1" applyFont="1" applyFill="1" applyBorder="1" applyAlignment="1">
      <x:alignment vertical="center"/>
    </x:xf>
    <x:xf numFmtId="0" fontId="4" fillId="16" borderId="2" xfId="0" applyNumberFormat="1" applyFont="1" applyFill="1" applyBorder="1" applyAlignment="1">
      <x:alignment vertical="center"/>
    </x:xf>
    <x:xf numFmtId="200" fontId="4" fillId="16" borderId="2" xfId="0" applyNumberFormat="1" applyFont="1" applyFill="1" applyBorder="1" applyAlignment="1">
      <x:alignment vertical="center"/>
    </x:xf>
    <x:xf numFmtId="0" fontId="4" fillId="16" borderId="3" xfId="0" applyNumberFormat="1" applyFont="1" applyFill="1" applyBorder="1" applyAlignment="1">
      <x:alignment vertical="center"/>
    </x:xf>
    <x:xf numFmtId="0" fontId="15" fillId="0" borderId="0" xfId="0" applyNumberFormat="1" applyFont="1" applyFill="1" applyBorder="1"/>
    <x:xf numFmtId="0" fontId="3" fillId="17" borderId="1" xfId="0" applyNumberFormat="1" applyFont="1" applyFill="1" applyBorder="1" applyAlignment="1">
      <x:alignment horizontal="center" vertical="center" wrapText="1"/>
    </x:xf>
    <x:xf numFmtId="0" fontId="3" fillId="17" borderId="2" xfId="0" applyNumberFormat="1" applyFont="1" applyFill="1" applyBorder="1" applyAlignment="1">
      <x:alignment horizontal="center" vertical="center" wrapText="1"/>
    </x:xf>
    <x:xf numFmtId="0" fontId="3" fillId="17" borderId="3" xfId="0" applyNumberFormat="1" applyFont="1" applyFill="1" applyBorder="1" applyAlignment="1">
      <x:alignment horizontal="center" vertical="center" wrapText="1"/>
    </x:xf>
    <x:xf numFmtId="0" fontId="4" fillId="18" borderId="1" xfId="0" applyNumberFormat="1" applyFont="1" applyFill="1" applyBorder="1" applyAlignment="1">
      <x:alignment vertical="center"/>
    </x:xf>
    <x:xf numFmtId="0" fontId="4" fillId="18" borderId="2" xfId="0" applyNumberFormat="1" applyFont="1" applyFill="1" applyBorder="1" applyAlignment="1">
      <x:alignment vertical="center"/>
    </x:xf>
    <x:xf numFmtId="200" fontId="4" fillId="18" borderId="2" xfId="0" applyNumberFormat="1" applyFont="1" applyFill="1" applyBorder="1" applyAlignment="1">
      <x:alignment vertical="center"/>
    </x:xf>
    <x:xf numFmtId="0" fontId="8" fillId="18" borderId="3" xfId="0" applyNumberFormat="1" applyFont="1" applyFill="1" applyBorder="1" applyAlignment="1">
      <x:alignment vertical="center"/>
    </x:xf>
    <x:xf numFmtId="0" fontId="4" fillId="19" borderId="1" xfId="0" applyNumberFormat="1" applyFont="1" applyFill="1" applyBorder="1" applyAlignment="1">
      <x:alignment vertical="center"/>
    </x:xf>
    <x:xf numFmtId="0" fontId="4" fillId="19" borderId="2" xfId="0" applyNumberFormat="1" applyFont="1" applyFill="1" applyBorder="1" applyAlignment="1">
      <x:alignment vertical="center"/>
    </x:xf>
    <x:xf numFmtId="200" fontId="4" fillId="19" borderId="2" xfId="0" applyNumberFormat="1" applyFont="1" applyFill="1" applyBorder="1" applyAlignment="1">
      <x:alignment vertical="center"/>
    </x:xf>
    <x:xf numFmtId="0" fontId="8" fillId="19" borderId="3" xfId="0" applyNumberFormat="1" applyFont="1" applyFill="1" applyBorder="1" applyAlignment="1">
      <x:alignment vertical="center"/>
    </x:xf>
    <x:xf numFmtId="0" fontId="16" fillId="0" borderId="0" xfId="0" applyNumberFormat="1" applyFont="1" applyFill="1" applyBorder="1"/>
    <x:xf numFmtId="0" fontId="3" fillId="20" borderId="0" xfId="0" applyNumberFormat="1" applyFont="1" applyFill="1" applyBorder="1" applyAlignment="1">
      <x:alignment horizontal="center" vertical="center" wrapText="1"/>
    </x:xf>
    <x:xf numFmtId="0" fontId="4" fillId="21" borderId="0" xfId="0" applyNumberFormat="1" applyFont="1" applyFill="1" applyBorder="1" applyAlignment="1">
      <x:alignment vertical="center"/>
    </x:xf>
    <x:xf numFmtId="0" fontId="4" fillId="22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4">
    <x:dxf>
      <x:font>
        <x:b/>
        <x:color rgb="FF2E6B30"/>
      </x:font>
      <x:fill>
        <x:patternFill>
          <x:bgColor rgb="FFE2F0D9"/>
        </x:patternFill>
      </x:fill>
    </x:dxf>
    <x:dxf>
      <x:font>
        <x:b/>
        <x:color rgb="FF2E6B3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95f6785c0246d1" /><Relationship Type="http://schemas.openxmlformats.org/officeDocument/2006/relationships/theme" Target="/xl/theme/theme1.xml" Id="R58e898327fae42be" /><Relationship Type="http://schemas.openxmlformats.org/officeDocument/2006/relationships/sharedStrings" Target="/xl/sharedStrings.xml" Id="R4a85eb355e904f08" /><Relationship Type="http://schemas.openxmlformats.org/officeDocument/2006/relationships/worksheet" Target="/xl/worksheets/sheet1.xml" Id="Rbe7b34fc87bd4a95" /><Relationship Type="http://schemas.openxmlformats.org/officeDocument/2006/relationships/worksheet" Target="/xl/worksheets/sheet2.xml" Id="R9bb366120b064261" /><Relationship Type="http://schemas.openxmlformats.org/officeDocument/2006/relationships/worksheet" Target="/xl/worksheets/sheet3.xml" Id="Re72b4178934847b9" /><Relationship Type="http://schemas.openxmlformats.org/officeDocument/2006/relationships/worksheet" Target="/xl/worksheets/sheet4.xml" Id="Rafd62f379a4249c3" /><Relationship Type="http://schemas.openxmlformats.org/officeDocument/2006/relationships/worksheet" Target="/xl/worksheets/sheet5.xml" Id="Rc81a71daff9c4923" /></Relationships>
</file>

<file path=xl/tables/table1.xml><?xml version="1.0" encoding="utf-8"?>
<x:table xmlns:x="http://schemas.openxmlformats.org/spreadsheetml/2006/main" id="1" name="InvoiceQueue" displayName="InvoiceQueue" ref="A4:H26" headerRowCount="1" totalsRowCount="0" totalsRowShown="0">
  <x:tableColumns count="8">
    <x:tableColumn id="1" name="Invoice ID"/>
    <x:tableColumn id="2" name="Vendor ID"/>
    <x:tableColumn id="3" name="PO Number"/>
    <x:tableColumn id="4" name="Invoice Date"/>
    <x:tableColumn id="5" name="Invoice Total"/>
    <x:tableColumn id="6" name="Tax Amount"/>
    <x:tableColumn id="7" name="Payment Terms"/>
    <x:tableColumn id="8" name="Entered B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oReceiptLog" displayName="PoReceiptLog" ref="A4:D26" headerRowCount="1" totalsRowCount="0" totalsRowShown="0">
  <x:tableColumns count="4">
    <x:tableColumn id="1" name="PO Number"/>
    <x:tableColumn id="2" name="Vendor ID"/>
    <x:tableColumn id="3" name="Approved Total"/>
    <x:tableColumn id="4" name="Receipt 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PReviewTable" displayName="APReviewTable" ref="A4:I26" headerRowCount="1" totalsRowCount="0" totalsRowShown="0">
  <x:tableColumns count="9">
    <x:tableColumn id="1" name="Invoice ID"/>
    <x:tableColumn id="2" name="PO Number"/>
    <x:tableColumn id="3" name="Invoice Vendor"/>
    <x:tableColumn id="4" name="Invoice Total"/>
    <x:tableColumn id="5" name="PO Vendor"/>
    <x:tableColumn id="6" name="PO Total"/>
    <x:tableColumn id="7" name="Receipt Status"/>
    <x:tableColumn id="8" name="Variance"/>
    <x:tableColumn id="9" name="Review 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PFieldRules" displayName="APFieldRules" ref="A4:D10" headerRowCount="1" totalsRowCount="0" totalsRowShown="0">
  <x:tableColumns count="4">
    <x:tableColumn id="1" name="Check"/>
    <x:tableColumn id="2" name="Required"/>
    <x:tableColumn id="3" name="Rule"/>
    <x:tableColumn id="4" name="Action when it fail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2969d1b0c0a465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5b9443ffc40487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8957715c06645c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e2ecfe3d19c41a8" /></Relationships>
</file>

<file path=xl/worksheets/sheet1.xml><?xml version="1.0" encoding="utf-8"?>
<x:worksheet xmlns:x="http://schemas.openxmlformats.org/spreadsheetml/2006/main">
  <x:sheetPr>
    <x:tabColor rgb="FF176B87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1" hidden="0" customWidth="1"/>
    <x:col min="2" max="2" width="78" hidden="0" customWidth="1"/>
    <x:col min="3" max="3" width="54" hidden="0" customWidth="1"/>
  </x:cols>
  <x:sheetData>
    <x:row r="1" ht="30" customHeight="1">
      <x:c r="A1" s="47" t="str">
        <x:v>Accounts payable invoice reconciliation</x:v>
      </x:c>
      <x:c r="B1" s="47"/>
      <x:c r="C1" s="47"/>
    </x:row>
    <x:row r="2" ht="26" customHeight="1">
      <x:c r="A2" s="48" t="str">
        <x:v>Finance operations practice project | Invoice capture, purchase-order matching, receipt checks, and exception handling</x:v>
      </x:c>
      <x:c r="B2" s="48"/>
      <x:c r="C2" s="48"/>
    </x:row>
    <x:row r="3">
      <x:c r="A3" s="7"/>
      <x:c r="B3" s="7"/>
    </x:row>
    <x:row r="4" ht="28" customHeight="1">
      <x:c r="A4" s="49" t="str">
        <x:v>Portfolio metric</x:v>
      </x:c>
      <x:c r="B4" s="49" t="str">
        <x:v>Result</x:v>
      </x:c>
      <x:c r="C4" s="49" t="str">
        <x:v>What it demonstrates</x:v>
      </x:c>
    </x:row>
    <x:row r="5" ht="27" customHeight="1">
      <x:c r="A5" s="53" t="str">
        <x:v>Invoices processed</x:v>
      </x:c>
      <x:c r="B5" s="56" t="n">
        <x:f>COUNTA('Invoice Entry'!$A$5:$A$26)</x:f>
        <x:v>21</x:v>
      </x:c>
      <x:c r="C5" s="53" t="str">
        <x:v>Counts invoice rows received for review.</x:v>
      </x:c>
    </x:row>
    <x:row r="6" ht="27" customHeight="1">
      <x:c r="A6" s="53" t="str">
        <x:v>Ready to route</x:v>
      </x:c>
      <x:c r="B6" s="56" t="n">
        <x:f>COUNTIF('AP Review'!$I$5:$I$26,"Ready")</x:f>
        <x:v>14</x:v>
      </x:c>
      <x:c r="C6" s="53" t="str">
        <x:v>Counts invoices that match vendor, PO, receipt, and amount.</x:v>
      </x:c>
    </x:row>
    <x:row r="7" ht="27" customHeight="1">
      <x:c r="A7" s="53" t="str">
        <x:v>Items to resolve</x:v>
      </x:c>
      <x:c r="B7" s="56" t="n">
        <x:f>COUNTA('AP Review'!$I$5:$I$26)-COUNTIF('AP Review'!$I$5:$I$26,"Ready")</x:f>
        <x:v>8</x:v>
      </x:c>
      <x:c r="C7" s="53" t="str">
        <x:v>Keeps exceptions visible before payment processing.</x:v>
      </x:c>
    </x:row>
    <x:row r="8" ht="27" customHeight="1">
      <x:c r="A8" s="53" t="str">
        <x:v>Invoice total</x:v>
      </x:c>
      <x:c r="B8" s="57" t="n">
        <x:f>SUM('Invoice Entry'!$E$5:$E$26)</x:f>
        <x:v>15660.25</x:v>
      </x:c>
      <x:c r="C8" s="53" t="str">
        <x:v>Shows the value captured in the invoice queue.</x:v>
      </x:c>
    </x:row>
    <x:row r="9">
      <x:c r="A9" s="7"/>
      <x:c r="B9" s="7"/>
    </x:row>
    <x:row r="10">
      <x:c r="A10" s="50" t="str">
        <x:v>Workflow</x:v>
      </x:c>
      <x:c r="B10" s="50" t="str">
        <x:v>What to do</x:v>
      </x:c>
    </x:row>
    <x:row r="11" ht="34" customHeight="1">
      <x:c r="A11" s="13" t="str">
        <x:v>1. Enter</x:v>
      </x:c>
      <x:c r="B11" s="13" t="str">
        <x:v>Capture invoice ID, vendor, PO, date, total, tax, and payment terms from the source invoice.</x:v>
      </x:c>
    </x:row>
    <x:row r="12" ht="34" customHeight="1">
      <x:c r="A12" s="13" t="str">
        <x:v>2. Match</x:v>
      </x:c>
      <x:c r="B12" s="13" t="str">
        <x:v>Compare the invoice to the PO and receipt log on AP Review.</x:v>
      </x:c>
    </x:row>
    <x:row r="13" ht="34" customHeight="1">
      <x:c r="A13" s="13" t="str">
        <x:v>3. Resolve</x:v>
      </x:c>
      <x:c r="B13" s="13" t="str">
        <x:v>Review duplicate IDs, missing PO matches, vendor differences, receipt holds, and amount variances.</x:v>
      </x:c>
    </x:row>
    <x:row r="14" ht="34" customHeight="1">
      <x:c r="A14" s="13" t="str">
        <x:v>4. Route</x:v>
      </x:c>
      <x:c r="B14" s="13" t="str">
        <x:v>Filter the AP Review status to Ready for a mock approval handoff.</x:v>
      </x:c>
    </x:row>
    <x:row r="15" ht="34" customHeight="1">
      <x:c r="A15" s="13" t="str">
        <x:v>5. Explain</x:v>
      </x:c>
      <x:c r="B15" s="13" t="str">
        <x:v>Describe how you keep an exception from moving into a payment batch until it is resolved.</x:v>
      </x:c>
    </x:row>
    <x:row r="16">
      <x:c r="A16" s="51" t="str">
        <x:v>Workbook sheet</x:v>
      </x:c>
      <x:c r="B16" s="51" t="str">
        <x:v>Purpose</x:v>
      </x:c>
    </x:row>
    <x:row r="17" ht="29" customHeight="1">
      <x:c r="A17" s="13" t="str">
        <x:v>Invoice Entry</x:v>
      </x:c>
      <x:c r="B17" s="13" t="str">
        <x:v>Fictional invoice details captured from source documents.</x:v>
      </x:c>
    </x:row>
    <x:row r="18" ht="29" customHeight="1">
      <x:c r="A18" s="13" t="str">
        <x:v>PO &amp; Receipt Log</x:v>
      </x:c>
      <x:c r="B18" s="13" t="str">
        <x:v>Approved PO totals, supplier IDs, and receiving status.</x:v>
      </x:c>
    </x:row>
    <x:row r="19" ht="29" customHeight="1">
      <x:c r="A19" s="13" t="str">
        <x:v>AP Review</x:v>
      </x:c>
      <x:c r="B19" s="13" t="str">
        <x:v>Formula-driven match results and exception reasons.</x:v>
      </x:c>
    </x:row>
    <x:row r="20" ht="29" customHeight="1">
      <x:c r="A20" s="13" t="str">
        <x:v>Field Rules</x:v>
      </x:c>
      <x:c r="B20" s="13" t="str">
        <x:v>Capture requirements and reconciliation rules.</x:v>
      </x:c>
    </x:row>
    <x:row r="21" ht="29" customHeight="1">
      <x:c r="A21" s="7"/>
      <x:c r="B21" s="7"/>
    </x:row>
    <x:row r="22" ht="29" customHeight="1">
      <x:c r="A22" s="7"/>
      <x:c r="B22" s="7"/>
    </x:row>
    <x:row r="23">
      <x:c r="A23" s="52" t="str">
        <x:v>Skill</x:v>
      </x:c>
      <x:c r="B23" s="52" t="str">
        <x:v>Portfolio evidence</x:v>
      </x:c>
    </x:row>
    <x:row r="24">
      <x:c r="A24" s="13" t="str">
        <x:v>Source-document capture</x:v>
      </x:c>
      <x:c r="B24" s="13" t="str">
        <x:v>Records invoice fields in a consistent, filterable table.</x:v>
      </x:c>
    </x:row>
    <x:row r="25">
      <x:c r="A25" s="13" t="str">
        <x:v>Lookup and matching</x:v>
      </x:c>
      <x:c r="B25" s="13" t="str">
        <x:v>Uses INDEX/MATCH to retrieve PO vendor, approved total, and receipt status.</x:v>
      </x:c>
    </x:row>
    <x:row r="26">
      <x:c r="A26" s="13" t="str">
        <x:v>Quality control</x:v>
      </x:c>
      <x:c r="B26" s="13" t="str">
        <x:v>Flags duplicate invoice IDs, unmatched POs, vendor differences, and variances.</x:v>
      </x:c>
    </x:row>
    <x:row r="27">
      <x:c r="A27" s="13" t="str">
        <x:v>Finance reporting</x:v>
      </x:c>
      <x:c r="B27" s="13" t="str">
        <x:v>Summarizes processed invoices, ready items, exceptions, and captured value.</x:v>
      </x:c>
    </x:row>
    <x:row r="28">
      <x:c r="A28" s="7"/>
      <x:c r="B28" s="7"/>
    </x:row>
    <x:row r="29">
      <x:c r="A29" s="7"/>
      <x:c r="B29" s="7"/>
    </x:row>
    <x:row r="30">
      <x:c r="A30" s="18" t="str">
        <x:v>Portfolio demo</x:v>
      </x:c>
      <x:c r="B30" s="13" t="str">
        <x:v>Walk through one clean invoice and one exception. Explain the three-way check across invoice, PO, and receipt status before routing for approval.</x:v>
      </x:c>
    </x:row>
    <x:row r="31">
      <x:c r="A31" s="7"/>
      <x:c r="B31" s="7"/>
    </x:row>
    <x:row r="32">
      <x:c r="A32" s="18" t="str">
        <x:v>Data note</x:v>
      </x:c>
      <x:c r="B32" s="24" t="str">
        <x:v>All records are fictional and created for portfolio practice. No real customer, employee, or company data is included.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C46D26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4" hidden="0" customWidth="1"/>
    <x:col min="3" max="3" width="16" hidden="0" customWidth="1"/>
    <x:col min="4" max="4" width="16" hidden="0" customWidth="1"/>
    <x:col min="5" max="5" width="18" hidden="0" customWidth="1"/>
    <x:col min="6" max="6" width="17" hidden="0" customWidth="1"/>
    <x:col min="7" max="7" width="23" hidden="0" customWidth="1"/>
    <x:col min="8" max="8" width="17" hidden="0" customWidth="1"/>
  </x:cols>
  <x:sheetData>
    <x:row r="1" ht="27" customHeight="1">
      <x:c r="A1" s="47" t="str">
        <x:v>Invoice intake queue</x:v>
      </x:c>
      <x:c r="B1" s="47"/>
      <x:c r="C1" s="47"/>
      <x:c r="D1" s="47"/>
      <x:c r="E1" s="47"/>
      <x:c r="F1" s="47"/>
      <x:c r="G1" s="47"/>
      <x:c r="H1" s="47"/>
    </x:row>
    <x:row r="2" ht="24" customHeight="1">
      <x:c r="A2" s="16" t="str">
        <x:v>Amber cells represent captured invoice fields. Totals and vendors are fictional portfolio data.</x:v>
      </x:c>
      <x:c r="B2" s="16"/>
      <x:c r="C2" s="16"/>
      <x:c r="D2" s="16"/>
      <x:c r="E2" s="16"/>
      <x:c r="F2" s="16"/>
      <x:c r="G2" s="16"/>
      <x:c r="H2" s="16"/>
    </x:row>
    <x:row r="4" ht="30" customHeight="1">
      <x:c r="A4" s="58" t="str">
        <x:v>Invoice ID</x:v>
      </x:c>
      <x:c r="B4" s="59" t="str">
        <x:v>Vendor ID</x:v>
      </x:c>
      <x:c r="C4" s="59" t="str">
        <x:v>PO Number</x:v>
      </x:c>
      <x:c r="D4" s="59" t="str">
        <x:v>Invoice Date</x:v>
      </x:c>
      <x:c r="E4" s="59" t="str">
        <x:v>Invoice Total</x:v>
      </x:c>
      <x:c r="F4" s="59" t="str">
        <x:v>Tax Amount</x:v>
      </x:c>
      <x:c r="G4" s="59" t="str">
        <x:v>Payment Terms</x:v>
      </x:c>
      <x:c r="H4" s="60" t="str">
        <x:v>Entered By</x:v>
      </x:c>
    </x:row>
    <x:row r="5" ht="21" customHeight="1">
      <x:c r="A5" s="61" t="str">
        <x:v>INV-7001</x:v>
      </x:c>
      <x:c r="B5" s="62" t="str">
        <x:v>V-101</x:v>
      </x:c>
      <x:c r="C5" s="62" t="str">
        <x:v>PO-9001</x:v>
      </x:c>
      <x:c r="D5" s="63" t="n">
        <x:v>46266</x:v>
      </x:c>
      <x:c r="E5" s="64" t="n">
        <x:v>275</x:v>
      </x:c>
      <x:c r="F5" s="64" t="n">
        <x:v>13.75</x:v>
      </x:c>
      <x:c r="G5" s="62" t="str">
        <x:v>Net 15</x:v>
      </x:c>
      <x:c r="H5" s="65" t="str">
        <x:v>R. Shah</x:v>
      </x:c>
    </x:row>
    <x:row r="6" ht="21" customHeight="1">
      <x:c r="A6" s="66" t="str">
        <x:v>INV-7002</x:v>
      </x:c>
      <x:c r="B6" s="67" t="str">
        <x:v>V-102</x:v>
      </x:c>
      <x:c r="C6" s="67" t="str">
        <x:v>PO-9002</x:v>
      </x:c>
      <x:c r="D6" s="68" t="n">
        <x:v>46267</x:v>
      </x:c>
      <x:c r="E6" s="69" t="n">
        <x:v>316.5</x:v>
      </x:c>
      <x:c r="F6" s="69" t="n">
        <x:v>15.825000000000001</x:v>
      </x:c>
      <x:c r="G6" s="67" t="str">
        <x:v>Net 30</x:v>
      </x:c>
      <x:c r="H6" s="70" t="str">
        <x:v>M. Rivera</x:v>
      </x:c>
    </x:row>
    <x:row r="7" ht="21" customHeight="1">
      <x:c r="A7" s="61" t="str">
        <x:v>INV-7003</x:v>
      </x:c>
      <x:c r="B7" s="62" t="str">
        <x:v>V-103</x:v>
      </x:c>
      <x:c r="C7" s="62" t="str">
        <x:v>PO-9003</x:v>
      </x:c>
      <x:c r="D7" s="63" t="n">
        <x:v>46268</x:v>
      </x:c>
      <x:c r="E7" s="64" t="n">
        <x:v>358</x:v>
      </x:c>
      <x:c r="F7" s="64" t="n">
        <x:v>17.900000000000002</x:v>
      </x:c>
      <x:c r="G7" s="62" t="str">
        <x:v>Due on receipt</x:v>
      </x:c>
      <x:c r="H7" s="65" t="str">
        <x:v>K. Evans</x:v>
      </x:c>
    </x:row>
    <x:row r="8" ht="21" customHeight="1">
      <x:c r="A8" s="66" t="str">
        <x:v>INV-7004</x:v>
      </x:c>
      <x:c r="B8" s="67" t="str">
        <x:v>V-104</x:v>
      </x:c>
      <x:c r="C8" s="67" t="str">
        <x:v>PO-9004</x:v>
      </x:c>
      <x:c r="D8" s="68" t="n">
        <x:v>46269</x:v>
      </x:c>
      <x:c r="E8" s="69" t="n">
        <x:v>399.5</x:v>
      </x:c>
      <x:c r="F8" s="69" t="n">
        <x:v>19.975</x:v>
      </x:c>
      <x:c r="G8" s="67" t="str">
        <x:v>Net 15</x:v>
      </x:c>
      <x:c r="H8" s="70" t="str">
        <x:v>R. Shah</x:v>
      </x:c>
    </x:row>
    <x:row r="9" ht="21" customHeight="1">
      <x:c r="A9" s="61" t="str">
        <x:v>INV-7005</x:v>
      </x:c>
      <x:c r="B9" s="62" t="str">
        <x:v>V-106</x:v>
      </x:c>
      <x:c r="C9" s="62" t="str">
        <x:v>PO-9005</x:v>
      </x:c>
      <x:c r="D9" s="63" t="n">
        <x:v>46270</x:v>
      </x:c>
      <x:c r="E9" s="64" t="n">
        <x:v>441</x:v>
      </x:c>
      <x:c r="F9" s="64" t="n">
        <x:v>22.05</x:v>
      </x:c>
      <x:c r="G9" s="62" t="str">
        <x:v>Net 30</x:v>
      </x:c>
      <x:c r="H9" s="65" t="str">
        <x:v>M. Rivera</x:v>
      </x:c>
    </x:row>
    <x:row r="10" ht="21" customHeight="1">
      <x:c r="A10" s="66" t="str">
        <x:v>INV-7006</x:v>
      </x:c>
      <x:c r="B10" s="67" t="str">
        <x:v>V-106</x:v>
      </x:c>
      <x:c r="C10" s="67" t="str">
        <x:v>PO-9006</x:v>
      </x:c>
      <x:c r="D10" s="68" t="n">
        <x:v>46271</x:v>
      </x:c>
      <x:c r="E10" s="69" t="n">
        <x:v>482.5</x:v>
      </x:c>
      <x:c r="F10" s="69" t="n">
        <x:v>24.125</x:v>
      </x:c>
      <x:c r="G10" s="67" t="str">
        <x:v>Due on receipt</x:v>
      </x:c>
      <x:c r="H10" s="70" t="str">
        <x:v>K. Evans</x:v>
      </x:c>
    </x:row>
    <x:row r="11" ht="21" customHeight="1">
      <x:c r="A11" s="61" t="str">
        <x:v>INV-7007</x:v>
      </x:c>
      <x:c r="B11" s="62" t="str">
        <x:v>V-101</x:v>
      </x:c>
      <x:c r="C11" s="62" t="str">
        <x:v>PO-9007</x:v>
      </x:c>
      <x:c r="D11" s="63" t="n">
        <x:v>46272</x:v>
      </x:c>
      <x:c r="E11" s="64" t="n">
        <x:v>524</x:v>
      </x:c>
      <x:c r="F11" s="64" t="n">
        <x:v>26.200000000000003</x:v>
      </x:c>
      <x:c r="G11" s="62" t="str">
        <x:v>Net 15</x:v>
      </x:c>
      <x:c r="H11" s="65" t="str">
        <x:v>R. Shah</x:v>
      </x:c>
    </x:row>
    <x:row r="12" ht="21" customHeight="1">
      <x:c r="A12" s="66" t="str">
        <x:v>INV-7008</x:v>
      </x:c>
      <x:c r="B12" s="67" t="str">
        <x:v>V-102</x:v>
      </x:c>
      <x:c r="C12" s="67" t="str">
        <x:v>PO-9008</x:v>
      </x:c>
      <x:c r="D12" s="68" t="n">
        <x:v>46273</x:v>
      </x:c>
      <x:c r="E12" s="69" t="n">
        <x:v>589.25</x:v>
      </x:c>
      <x:c r="F12" s="69" t="n">
        <x:v>29.462500000000002</x:v>
      </x:c>
      <x:c r="G12" s="67" t="str">
        <x:v>Net 30</x:v>
      </x:c>
      <x:c r="H12" s="70" t="str">
        <x:v>M. Rivera</x:v>
      </x:c>
    </x:row>
    <x:row r="13" ht="21" customHeight="1">
      <x:c r="A13" s="61" t="str">
        <x:v>INV-7009</x:v>
      </x:c>
      <x:c r="B13" s="62" t="str">
        <x:v>V-103</x:v>
      </x:c>
      <x:c r="C13" s="62" t="str">
        <x:v>PO-9009</x:v>
      </x:c>
      <x:c r="D13" s="63" t="n">
        <x:v>46274</x:v>
      </x:c>
      <x:c r="E13" s="64" t="n">
        <x:v>607</x:v>
      </x:c>
      <x:c r="F13" s="64" t="n">
        <x:v>30.35</x:v>
      </x:c>
      <x:c r="G13" s="62" t="str">
        <x:v>Due on receipt</x:v>
      </x:c>
      <x:c r="H13" s="65" t="str">
        <x:v>K. Evans</x:v>
      </x:c>
    </x:row>
    <x:row r="14" ht="21" customHeight="1">
      <x:c r="A14" s="66" t="str">
        <x:v>INV-7010</x:v>
      </x:c>
      <x:c r="B14" s="67" t="str">
        <x:v>V-104</x:v>
      </x:c>
      <x:c r="C14" s="67" t="str">
        <x:v>PO-9999</x:v>
      </x:c>
      <x:c r="D14" s="68" t="n">
        <x:v>46275</x:v>
      </x:c>
      <x:c r="E14" s="69" t="n">
        <x:v>648.5</x:v>
      </x:c>
      <x:c r="F14" s="69" t="n">
        <x:v>32.425000000000004</x:v>
      </x:c>
      <x:c r="G14" s="67" t="str">
        <x:v>Net 15</x:v>
      </x:c>
      <x:c r="H14" s="70" t="str">
        <x:v>R. Shah</x:v>
      </x:c>
    </x:row>
    <x:row r="15" ht="21" customHeight="1">
      <x:c r="A15" s="61" t="str">
        <x:v>INV-7011</x:v>
      </x:c>
      <x:c r="B15" s="62" t="str">
        <x:v>V-105</x:v>
      </x:c>
      <x:c r="C15" s="62" t="str">
        <x:v>PO-9011</x:v>
      </x:c>
      <x:c r="D15" s="63" t="n">
        <x:v>46276</x:v>
      </x:c>
      <x:c r="E15" s="64" t="n">
        <x:v>690</x:v>
      </x:c>
      <x:c r="F15" s="64" t="n">
        <x:v>34.5</x:v>
      </x:c>
      <x:c r="G15" s="62" t="str">
        <x:v>Net 30</x:v>
      </x:c>
      <x:c r="H15" s="65" t="str">
        <x:v>M. Rivera</x:v>
      </x:c>
    </x:row>
    <x:row r="16" ht="21" customHeight="1">
      <x:c r="A16" s="66" t="str">
        <x:v>INV-7012</x:v>
      </x:c>
      <x:c r="B16" s="67" t="str">
        <x:v>V-106</x:v>
      </x:c>
      <x:c r="C16" s="67" t="str">
        <x:v>PO-9012</x:v>
      </x:c>
      <x:c r="D16" s="68" t="n">
        <x:v>46277</x:v>
      </x:c>
      <x:c r="E16" s="69" t="n">
        <x:v>731.5</x:v>
      </x:c>
      <x:c r="F16" s="69" t="n">
        <x:v>36.575</x:v>
      </x:c>
      <x:c r="G16" s="67" t="str">
        <x:v>Due on receipt</x:v>
      </x:c>
      <x:c r="H16" s="70" t="str">
        <x:v>K. Evans</x:v>
      </x:c>
    </x:row>
    <x:row r="17" ht="21" customHeight="1">
      <x:c r="A17" s="61" t="str">
        <x:v>INV-7013</x:v>
      </x:c>
      <x:c r="B17" s="62" t="str">
        <x:v>V-101</x:v>
      </x:c>
      <x:c r="C17" s="62" t="str">
        <x:v>PO-9013</x:v>
      </x:c>
      <x:c r="D17" s="63" t="n">
        <x:v>46278</x:v>
      </x:c>
      <x:c r="E17" s="64" t="n">
        <x:v>773</x:v>
      </x:c>
      <x:c r="F17" s="64" t="n">
        <x:v>38.650000000000006</x:v>
      </x:c>
      <x:c r="G17" s="62" t="str">
        <x:v>Net 15</x:v>
      </x:c>
      <x:c r="H17" s="65" t="str">
        <x:v>R. Shah</x:v>
      </x:c>
    </x:row>
    <x:row r="18" ht="21" customHeight="1">
      <x:c r="A18" s="66" t="str">
        <x:v>INV-7014</x:v>
      </x:c>
      <x:c r="B18" s="67" t="str">
        <x:v>V-102</x:v>
      </x:c>
      <x:c r="C18" s="67" t="str">
        <x:v>PO-9014</x:v>
      </x:c>
      <x:c r="D18" s="68" t="n">
        <x:v>46279</x:v>
      </x:c>
      <x:c r="E18" s="69" t="n">
        <x:v>814.5</x:v>
      </x:c>
      <x:c r="F18" s="69" t="n">
        <x:v>40.725</x:v>
      </x:c>
      <x:c r="G18" s="67" t="str">
        <x:v>Net 30</x:v>
      </x:c>
      <x:c r="H18" s="70" t="str">
        <x:v>M. Rivera</x:v>
      </x:c>
    </x:row>
    <x:row r="19" ht="21" customHeight="1">
      <x:c r="A19" s="61" t="str">
        <x:v>INV-7015</x:v>
      </x:c>
      <x:c r="B19" s="62" t="str">
        <x:v>V-103</x:v>
      </x:c>
      <x:c r="C19" s="62" t="str">
        <x:v>PO-9015</x:v>
      </x:c>
      <x:c r="D19" s="63" t="n">
        <x:v>46280</x:v>
      </x:c>
      <x:c r="E19" s="64" t="n">
        <x:v>856</x:v>
      </x:c>
      <x:c r="F19" s="64" t="n">
        <x:v>42.800000000000004</x:v>
      </x:c>
      <x:c r="G19" s="62" t="str">
        <x:v>Due on receipt</x:v>
      </x:c>
      <x:c r="H19" s="65" t="str">
        <x:v>K. Evans</x:v>
      </x:c>
    </x:row>
    <x:row r="20" ht="21" customHeight="1">
      <x:c r="A20" s="66" t="str">
        <x:v>INV-7016</x:v>
      </x:c>
      <x:c r="B20" s="67" t="str">
        <x:v>V-104</x:v>
      </x:c>
      <x:c r="C20" s="67" t="str">
        <x:v>PO-9016</x:v>
      </x:c>
      <x:c r="D20" s="68" t="n">
        <x:v>46281</x:v>
      </x:c>
      <x:c r="E20" s="69" t="n">
        <x:v>897.5</x:v>
      </x:c>
      <x:c r="F20" s="69" t="n">
        <x:v>44.875</x:v>
      </x:c>
      <x:c r="G20" s="67" t="str">
        <x:v>Net 15</x:v>
      </x:c>
      <x:c r="H20" s="70" t="str">
        <x:v>R. Shah</x:v>
      </x:c>
    </x:row>
    <x:row r="21" ht="21" customHeight="1">
      <x:c r="A21" s="61" t="str">
        <x:v>INV-7017</x:v>
      </x:c>
      <x:c r="B21" s="62" t="str">
        <x:v>V-105</x:v>
      </x:c>
      <x:c r="C21" s="62" t="str">
        <x:v>PO-9017</x:v>
      </x:c>
      <x:c r="D21" s="63" t="n">
        <x:v>46282</x:v>
      </x:c>
      <x:c r="E21" s="64" t="n">
        <x:v>939</x:v>
      </x:c>
      <x:c r="F21" s="64" t="n">
        <x:v>46.95</x:v>
      </x:c>
      <x:c r="G21" s="62" t="str">
        <x:v>Net 30</x:v>
      </x:c>
      <x:c r="H21" s="65" t="str">
        <x:v>M. Rivera</x:v>
      </x:c>
    </x:row>
    <x:row r="22" ht="21" customHeight="1">
      <x:c r="A22" s="66" t="str">
        <x:v>INV-7018</x:v>
      </x:c>
      <x:c r="B22" s="67" t="str">
        <x:v>V-106</x:v>
      </x:c>
      <x:c r="C22" s="67" t="str">
        <x:v>PO-9018</x:v>
      </x:c>
      <x:c r="D22" s="68" t="n">
        <x:v>46283</x:v>
      </x:c>
      <x:c r="E22" s="69" t="n">
        <x:v>980.5</x:v>
      </x:c>
      <x:c r="F22" s="69" t="n">
        <x:v>49.025000000000006</x:v>
      </x:c>
      <x:c r="G22" s="67" t="str">
        <x:v>Due on receipt</x:v>
      </x:c>
      <x:c r="H22" s="70" t="str">
        <x:v>K. Evans</x:v>
      </x:c>
    </x:row>
    <x:row r="23" ht="21" customHeight="1">
      <x:c r="A23" s="61" t="str">
        <x:v>INV-7001</x:v>
      </x:c>
      <x:c r="B23" s="62" t="str">
        <x:v>V-101</x:v>
      </x:c>
      <x:c r="C23" s="62" t="str">
        <x:v>PO-9019</x:v>
      </x:c>
      <x:c r="D23" s="63" t="n">
        <x:v>46284</x:v>
      </x:c>
      <x:c r="E23" s="64" t="n">
        <x:v>1022</x:v>
      </x:c>
      <x:c r="F23" s="64" t="n">
        <x:v>51.1</x:v>
      </x:c>
      <x:c r="G23" s="62" t="str">
        <x:v>Net 15</x:v>
      </x:c>
      <x:c r="H23" s="65" t="str">
        <x:v>R. Shah</x:v>
      </x:c>
    </x:row>
    <x:row r="24" ht="21" customHeight="1">
      <x:c r="A24" s="66" t="str">
        <x:v>INV-7020</x:v>
      </x:c>
      <x:c r="B24" s="67" t="str">
        <x:v>V-102</x:v>
      </x:c>
      <x:c r="C24" s="67" t="str">
        <x:v>PO-9020</x:v>
      </x:c>
      <x:c r="D24" s="68" t="n">
        <x:v>46285</x:v>
      </x:c>
      <x:c r="E24" s="69" t="n">
        <x:v>1063.5</x:v>
      </x:c>
      <x:c r="F24" s="69" t="n">
        <x:v>53.175000000000004</x:v>
      </x:c>
      <x:c r="G24" s="67" t="str">
        <x:v>Net 30</x:v>
      </x:c>
      <x:c r="H24" s="70" t="str">
        <x:v>M. Rivera</x:v>
      </x:c>
    </x:row>
    <x:row r="25" ht="21" customHeight="1">
      <x:c r="A25" s="61" t="str">
        <x:v>INV-7021</x:v>
      </x:c>
      <x:c r="B25" s="62" t="str">
        <x:v>V-103</x:v>
      </x:c>
      <x:c r="C25" s="62" t="str">
        <x:v>PO-9021</x:v>
      </x:c>
      <x:c r="D25" s="63" t="n">
        <x:v>46286</x:v>
      </x:c>
      <x:c r="E25" s="64" t="n">
        <x:v>1105</x:v>
      </x:c>
      <x:c r="F25" s="64" t="n">
        <x:v>55.25</x:v>
      </x:c>
      <x:c r="G25" s="62" t="str">
        <x:v>Due on receipt</x:v>
      </x:c>
      <x:c r="H25" s="65" t="str">
        <x:v>K. Evans</x:v>
      </x:c>
    </x:row>
    <x:row r="26" ht="21" customHeight="1">
      <x:c r="A26" s="66" t="str"/>
      <x:c r="B26" s="67" t="str">
        <x:v>V-104</x:v>
      </x:c>
      <x:c r="C26" s="67" t="str">
        <x:v>PO-9022</x:v>
      </x:c>
      <x:c r="D26" s="68" t="n">
        <x:v>46287</x:v>
      </x:c>
      <x:c r="E26" s="69" t="n">
        <x:v>1146.5</x:v>
      </x:c>
      <x:c r="F26" s="69" t="n">
        <x:v>57.325</x:v>
      </x:c>
      <x:c r="G26" s="67" t="str">
        <x:v>Net 15</x:v>
      </x:c>
      <x:c r="H26" s="70" t="str">
        <x:v>R. Shah</x:v>
      </x:c>
    </x:row>
  </x:sheetData>
  <x:dataValidations count="1">
    <x:dataValidation type="list" sqref="G5:G26">
      <x:formula1>"Net 15,Net 30,Due on receipt"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2969d1b0c0a4652"/>
  </x:tableParts>
</x:worksheet>
</file>

<file path=xl/worksheets/sheet3.xml><?xml version="1.0" encoding="utf-8"?>
<x:worksheet xmlns:x="http://schemas.openxmlformats.org/spreadsheetml/2006/main">
  <x:sheetPr>
    <x:tabColor rgb="FF3876A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4" hidden="0" customWidth="1"/>
    <x:col min="3" max="3" width="24" hidden="0" customWidth="1"/>
    <x:col min="4" max="4" width="21" hidden="0" customWidth="1"/>
  </x:cols>
  <x:sheetData>
    <x:row r="1" ht="27" customHeight="1">
      <x:c r="A1" s="71" t="str">
        <x:v>Purchase orders and receipts</x:v>
      </x:c>
      <x:c r="B1" s="71"/>
      <x:c r="C1" s="71"/>
      <x:c r="D1" s="71"/>
    </x:row>
    <x:row r="2" ht="24" customHeight="1">
      <x:c r="A2" s="16" t="str">
        <x:v>Reference records used to verify supplier, approved total, and goods-received status.</x:v>
      </x:c>
      <x:c r="B2" s="16"/>
      <x:c r="C2" s="16"/>
      <x:c r="D2" s="16"/>
    </x:row>
    <x:row r="4" ht="30" customHeight="1">
      <x:c r="A4" s="72" t="str">
        <x:v>PO Number</x:v>
      </x:c>
      <x:c r="B4" s="73" t="str">
        <x:v>Vendor ID</x:v>
      </x:c>
      <x:c r="C4" s="73" t="str">
        <x:v>Approved Total</x:v>
      </x:c>
      <x:c r="D4" s="74" t="str">
        <x:v>Receipt Status</x:v>
      </x:c>
    </x:row>
    <x:row r="5" ht="21" customHeight="1">
      <x:c r="A5" s="75" t="str">
        <x:v>PO-9001</x:v>
      </x:c>
      <x:c r="B5" s="76" t="str">
        <x:v>V-101</x:v>
      </x:c>
      <x:c r="C5" s="77" t="n">
        <x:v>275</x:v>
      </x:c>
      <x:c r="D5" s="78" t="str">
        <x:v>Received</x:v>
      </x:c>
    </x:row>
    <x:row r="6" ht="21" customHeight="1">
      <x:c r="A6" s="79" t="str">
        <x:v>PO-9002</x:v>
      </x:c>
      <x:c r="B6" s="80" t="str">
        <x:v>V-102</x:v>
      </x:c>
      <x:c r="C6" s="81" t="n">
        <x:v>316.5</x:v>
      </x:c>
      <x:c r="D6" s="82" t="str">
        <x:v>Received</x:v>
      </x:c>
    </x:row>
    <x:row r="7" ht="21" customHeight="1">
      <x:c r="A7" s="75" t="str">
        <x:v>PO-9003</x:v>
      </x:c>
      <x:c r="B7" s="76" t="str">
        <x:v>V-103</x:v>
      </x:c>
      <x:c r="C7" s="77" t="n">
        <x:v>358</x:v>
      </x:c>
      <x:c r="D7" s="78" t="str">
        <x:v>Received</x:v>
      </x:c>
    </x:row>
    <x:row r="8" ht="21" customHeight="1">
      <x:c r="A8" s="79" t="str">
        <x:v>PO-9004</x:v>
      </x:c>
      <x:c r="B8" s="80" t="str">
        <x:v>V-104</x:v>
      </x:c>
      <x:c r="C8" s="81" t="n">
        <x:v>399.5</x:v>
      </x:c>
      <x:c r="D8" s="82" t="str">
        <x:v>Pending</x:v>
      </x:c>
    </x:row>
    <x:row r="9" ht="21" customHeight="1">
      <x:c r="A9" s="75" t="str">
        <x:v>PO-9005</x:v>
      </x:c>
      <x:c r="B9" s="76" t="str">
        <x:v>V-105</x:v>
      </x:c>
      <x:c r="C9" s="77" t="n">
        <x:v>441</x:v>
      </x:c>
      <x:c r="D9" s="78" t="str">
        <x:v>Received</x:v>
      </x:c>
    </x:row>
    <x:row r="10" ht="21" customHeight="1">
      <x:c r="A10" s="79" t="str">
        <x:v>PO-9006</x:v>
      </x:c>
      <x:c r="B10" s="80" t="str">
        <x:v>V-106</x:v>
      </x:c>
      <x:c r="C10" s="81" t="n">
        <x:v>482.5</x:v>
      </x:c>
      <x:c r="D10" s="82" t="str">
        <x:v>Received</x:v>
      </x:c>
    </x:row>
    <x:row r="11" ht="21" customHeight="1">
      <x:c r="A11" s="75" t="str">
        <x:v>PO-9007</x:v>
      </x:c>
      <x:c r="B11" s="76" t="str">
        <x:v>V-101</x:v>
      </x:c>
      <x:c r="C11" s="77" t="n">
        <x:v>524</x:v>
      </x:c>
      <x:c r="D11" s="78" t="str">
        <x:v>Received</x:v>
      </x:c>
    </x:row>
    <x:row r="12" ht="21" customHeight="1">
      <x:c r="A12" s="79" t="str">
        <x:v>PO-9008</x:v>
      </x:c>
      <x:c r="B12" s="80" t="str">
        <x:v>V-102</x:v>
      </x:c>
      <x:c r="C12" s="81" t="n">
        <x:v>565.5</x:v>
      </x:c>
      <x:c r="D12" s="82" t="str">
        <x:v>Received</x:v>
      </x:c>
    </x:row>
    <x:row r="13" ht="21" customHeight="1">
      <x:c r="A13" s="75" t="str">
        <x:v>PO-9009</x:v>
      </x:c>
      <x:c r="B13" s="76" t="str">
        <x:v>V-103</x:v>
      </x:c>
      <x:c r="C13" s="77" t="n">
        <x:v>607</x:v>
      </x:c>
      <x:c r="D13" s="78" t="str">
        <x:v>Received</x:v>
      </x:c>
    </x:row>
    <x:row r="14" ht="21" customHeight="1">
      <x:c r="A14" s="79" t="str">
        <x:v>PO-9010</x:v>
      </x:c>
      <x:c r="B14" s="80" t="str">
        <x:v>V-104</x:v>
      </x:c>
      <x:c r="C14" s="81" t="n">
        <x:v>648.5</x:v>
      </x:c>
      <x:c r="D14" s="82" t="str">
        <x:v>Received</x:v>
      </x:c>
    </x:row>
    <x:row r="15" ht="21" customHeight="1">
      <x:c r="A15" s="75" t="str">
        <x:v>PO-9011</x:v>
      </x:c>
      <x:c r="B15" s="76" t="str">
        <x:v>V-105</x:v>
      </x:c>
      <x:c r="C15" s="77" t="n">
        <x:v>690</x:v>
      </x:c>
      <x:c r="D15" s="78" t="str">
        <x:v>Received</x:v>
      </x:c>
    </x:row>
    <x:row r="16" ht="21" customHeight="1">
      <x:c r="A16" s="79" t="str">
        <x:v>PO-9012</x:v>
      </x:c>
      <x:c r="B16" s="80" t="str">
        <x:v>V-106</x:v>
      </x:c>
      <x:c r="C16" s="81" t="n">
        <x:v>731.5</x:v>
      </x:c>
      <x:c r="D16" s="82" t="str">
        <x:v>Received</x:v>
      </x:c>
    </x:row>
    <x:row r="17" ht="21" customHeight="1">
      <x:c r="A17" s="75" t="str">
        <x:v>PO-9013</x:v>
      </x:c>
      <x:c r="B17" s="76" t="str">
        <x:v>V-101</x:v>
      </x:c>
      <x:c r="C17" s="77" t="n">
        <x:v>773</x:v>
      </x:c>
      <x:c r="D17" s="78" t="str">
        <x:v>Received</x:v>
      </x:c>
    </x:row>
    <x:row r="18" ht="21" customHeight="1">
      <x:c r="A18" s="79" t="str">
        <x:v>PO-9014</x:v>
      </x:c>
      <x:c r="B18" s="80" t="str">
        <x:v>V-102</x:v>
      </x:c>
      <x:c r="C18" s="81" t="n">
        <x:v>814.5</x:v>
      </x:c>
      <x:c r="D18" s="82" t="str">
        <x:v>Received</x:v>
      </x:c>
    </x:row>
    <x:row r="19" ht="21" customHeight="1">
      <x:c r="A19" s="75" t="str">
        <x:v>PO-9015</x:v>
      </x:c>
      <x:c r="B19" s="76" t="str">
        <x:v>V-103</x:v>
      </x:c>
      <x:c r="C19" s="77" t="n">
        <x:v>856</x:v>
      </x:c>
      <x:c r="D19" s="78" t="str">
        <x:v>Pending</x:v>
      </x:c>
    </x:row>
    <x:row r="20" ht="21" customHeight="1">
      <x:c r="A20" s="79" t="str">
        <x:v>PO-9016</x:v>
      </x:c>
      <x:c r="B20" s="80" t="str">
        <x:v>V-104</x:v>
      </x:c>
      <x:c r="C20" s="81" t="n">
        <x:v>897.5</x:v>
      </x:c>
      <x:c r="D20" s="82" t="str">
        <x:v>Received</x:v>
      </x:c>
    </x:row>
    <x:row r="21" ht="21" customHeight="1">
      <x:c r="A21" s="75" t="str">
        <x:v>PO-9017</x:v>
      </x:c>
      <x:c r="B21" s="76" t="str">
        <x:v>V-105</x:v>
      </x:c>
      <x:c r="C21" s="77" t="n">
        <x:v>939</x:v>
      </x:c>
      <x:c r="D21" s="78" t="str">
        <x:v>Received</x:v>
      </x:c>
    </x:row>
    <x:row r="22" ht="21" customHeight="1">
      <x:c r="A22" s="79" t="str">
        <x:v>PO-9018</x:v>
      </x:c>
      <x:c r="B22" s="80" t="str">
        <x:v>V-106</x:v>
      </x:c>
      <x:c r="C22" s="81" t="n">
        <x:v>980.5</x:v>
      </x:c>
      <x:c r="D22" s="82" t="str">
        <x:v>Received</x:v>
      </x:c>
    </x:row>
    <x:row r="23" ht="21" customHeight="1">
      <x:c r="A23" s="75" t="str">
        <x:v>PO-9019</x:v>
      </x:c>
      <x:c r="B23" s="76" t="str">
        <x:v>V-101</x:v>
      </x:c>
      <x:c r="C23" s="77" t="n">
        <x:v>1022</x:v>
      </x:c>
      <x:c r="D23" s="78" t="str">
        <x:v>Received</x:v>
      </x:c>
    </x:row>
    <x:row r="24" ht="21" customHeight="1">
      <x:c r="A24" s="79" t="str">
        <x:v>PO-9020</x:v>
      </x:c>
      <x:c r="B24" s="80" t="str">
        <x:v>V-102</x:v>
      </x:c>
      <x:c r="C24" s="81" t="n">
        <x:v>1063.5</x:v>
      </x:c>
      <x:c r="D24" s="82" t="str">
        <x:v>Received</x:v>
      </x:c>
    </x:row>
    <x:row r="25" ht="21" customHeight="1">
      <x:c r="A25" s="75" t="str">
        <x:v>PO-9021</x:v>
      </x:c>
      <x:c r="B25" s="76" t="str">
        <x:v>V-103</x:v>
      </x:c>
      <x:c r="C25" s="77" t="n">
        <x:v>1105</x:v>
      </x:c>
      <x:c r="D25" s="78" t="str">
        <x:v>Received</x:v>
      </x:c>
    </x:row>
    <x:row r="26" ht="21" customHeight="1">
      <x:c r="A26" s="79" t="str">
        <x:v>PO-9022</x:v>
      </x:c>
      <x:c r="B26" s="80" t="str">
        <x:v>V-104</x:v>
      </x:c>
      <x:c r="C26" s="81" t="n">
        <x:v>1146.5</x:v>
      </x:c>
      <x:c r="D26" s="82" t="str">
        <x:v>Received</x:v>
      </x:c>
    </x:row>
  </x:sheetData>
  <x:dataValidations count="1">
    <x:dataValidation type="list" sqref="D5:D26">
      <x:formula1>"Received,Pending"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5b9443ffc404877"/>
  </x:tableParts>
</x:worksheet>
</file>

<file path=xl/worksheets/sheet4.xml><?xml version="1.0" encoding="utf-8"?>
<x:worksheet xmlns:x="http://schemas.openxmlformats.org/spreadsheetml/2006/main">
  <x:sheetPr>
    <x:tabColor rgb="FF18786C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18" hidden="0" customWidth="1"/>
    <x:col min="3" max="3" width="18" hidden="0" customWidth="1"/>
    <x:col min="4" max="4" width="22" hidden="0" customWidth="1"/>
    <x:col min="5" max="5" width="21" hidden="0" customWidth="1"/>
    <x:col min="6" max="6" width="21" hidden="0" customWidth="1"/>
    <x:col min="7" max="7" width="21" hidden="0" customWidth="1"/>
    <x:col min="8" max="8" width="19" hidden="0" customWidth="1"/>
    <x:col min="9" max="9" width="27" hidden="0" customWidth="1"/>
  </x:cols>
  <x:sheetData>
    <x:row r="1" ht="27" customHeight="1">
      <x:c r="A1" s="83" t="str">
        <x:v>Invoice and PO reconciliation</x:v>
      </x:c>
      <x:c r="B1" s="83"/>
      <x:c r="C1" s="83"/>
      <x:c r="D1" s="83"/>
      <x:c r="E1" s="83"/>
      <x:c r="F1" s="83"/>
      <x:c r="G1" s="83"/>
      <x:c r="H1" s="83"/>
      <x:c r="I1" s="83"/>
    </x:row>
    <x:row r="2" ht="24" customHeight="1">
      <x:c r="A2" s="16" t="str">
        <x:v>Blue cells are calculated. Variances over $1.00 require review; no approval is implied by the workbook.</x:v>
      </x:c>
      <x:c r="B2" s="16"/>
      <x:c r="C2" s="16"/>
      <x:c r="D2" s="16"/>
      <x:c r="E2" s="16"/>
      <x:c r="F2" s="16"/>
      <x:c r="G2" s="16"/>
      <x:c r="H2" s="16"/>
      <x:c r="I2" s="16"/>
    </x:row>
    <x:row r="4" ht="30" customHeight="1">
      <x:c r="A4" s="84" t="str">
        <x:v>Invoice ID</x:v>
      </x:c>
      <x:c r="B4" s="85" t="str">
        <x:v>PO Number</x:v>
      </x:c>
      <x:c r="C4" s="85" t="str">
        <x:v>Invoice Vendor</x:v>
      </x:c>
      <x:c r="D4" s="85" t="str">
        <x:v>Invoice Total</x:v>
      </x:c>
      <x:c r="E4" s="85" t="str">
        <x:v>PO Vendor</x:v>
      </x:c>
      <x:c r="F4" s="85" t="str">
        <x:v>PO Total</x:v>
      </x:c>
      <x:c r="G4" s="85" t="str">
        <x:v>Receipt Status</x:v>
      </x:c>
      <x:c r="H4" s="85" t="str">
        <x:v>Variance</x:v>
      </x:c>
      <x:c r="I4" s="86" t="str">
        <x:v>Review Status</x:v>
      </x:c>
    </x:row>
    <x:row r="5" ht="21" customHeight="1">
      <x:c r="A5" s="87" t="str">
        <x:f>'Invoice Entry'!A5</x:f>
        <x:v>INV-7001</x:v>
      </x:c>
      <x:c r="B5" s="88" t="str">
        <x:f>'Invoice Entry'!C5</x:f>
        <x:v>PO-9001</x:v>
      </x:c>
      <x:c r="C5" s="88" t="str">
        <x:f>'Invoice Entry'!B5</x:f>
        <x:v>V-101</x:v>
      </x:c>
      <x:c r="D5" s="89" t="n">
        <x:f>'Invoice Entry'!E5</x:f>
        <x:v>275</x:v>
      </x:c>
      <x:c r="E5" s="88" t="str">
        <x:f>IFERROR(INDEX('PO &amp; Receipt Log'!$B$5:$B$26,MATCH(B5,'PO &amp; Receipt Log'!$A$5:$A$26,0)),"No PO")</x:f>
        <x:v>V-101</x:v>
      </x:c>
      <x:c r="F5" s="89" t="n">
        <x:f>IFERROR(INDEX('PO &amp; Receipt Log'!$C$5:$C$26,MATCH(B5,'PO &amp; Receipt Log'!$A$5:$A$26,0)),"")</x:f>
        <x:v>275</x:v>
      </x:c>
      <x:c r="G5" s="88" t="str">
        <x:f>IFERROR(INDEX('PO &amp; Receipt Log'!$D$5:$D$26,MATCH(B5,'PO &amp; Receipt Log'!$A$5:$A$26,0)),"No PO")</x:f>
        <x:v>Received</x:v>
      </x:c>
      <x:c r="H5" s="89" t="n">
        <x:f>IF(F5="","",D5-F5)</x:f>
        <x:v>0</x:v>
      </x:c>
      <x:c r="I5" s="90" t="str">
        <x:f>IF(A5="","Missing invoice ID",IF(COUNTIF($A$5:$A$26,A5)&gt;1,"Duplicate invoice ID",IF(E5="No PO","PO not found",IF(C5&lt;&gt;E5,"Vendor mismatch",IF(G5&lt;&gt;"Received","Receipt pending",IF(ABS(H5)&gt;1,"Amount mismatch","Ready"))))))</x:f>
        <x:v>Duplicate invoice ID</x:v>
      </x:c>
    </x:row>
    <x:row r="6" ht="21" customHeight="1">
      <x:c r="A6" s="91" t="str">
        <x:f>'Invoice Entry'!A6</x:f>
        <x:v>INV-7002</x:v>
      </x:c>
      <x:c r="B6" s="92" t="str">
        <x:f>'Invoice Entry'!C6</x:f>
        <x:v>PO-9002</x:v>
      </x:c>
      <x:c r="C6" s="92" t="str">
        <x:f>'Invoice Entry'!B6</x:f>
        <x:v>V-102</x:v>
      </x:c>
      <x:c r="D6" s="93" t="n">
        <x:f>'Invoice Entry'!E6</x:f>
        <x:v>316.5</x:v>
      </x:c>
      <x:c r="E6" s="92" t="str">
        <x:f>IFERROR(INDEX('PO &amp; Receipt Log'!$B$5:$B$26,MATCH(B6,'PO &amp; Receipt Log'!$A$5:$A$26,0)),"No PO")</x:f>
        <x:v>V-102</x:v>
      </x:c>
      <x:c r="F6" s="93" t="n">
        <x:f>IFERROR(INDEX('PO &amp; Receipt Log'!$C$5:$C$26,MATCH(B6,'PO &amp; Receipt Log'!$A$5:$A$26,0)),"")</x:f>
        <x:v>316.5</x:v>
      </x:c>
      <x:c r="G6" s="92" t="str">
        <x:f>IFERROR(INDEX('PO &amp; Receipt Log'!$D$5:$D$26,MATCH(B6,'PO &amp; Receipt Log'!$A$5:$A$26,0)),"No PO")</x:f>
        <x:v>Received</x:v>
      </x:c>
      <x:c r="H6" s="93" t="n">
        <x:f>IF(F6="","",D6-F6)</x:f>
        <x:v>0</x:v>
      </x:c>
      <x:c r="I6" s="94" t="str">
        <x:f>IF(A6="","Missing invoice ID",IF(COUNTIF($A$5:$A$26,A6)&gt;1,"Duplicate invoice ID",IF(E6="No PO","PO not found",IF(C6&lt;&gt;E6,"Vendor mismatch",IF(G6&lt;&gt;"Received","Receipt pending",IF(ABS(H6)&gt;1,"Amount mismatch","Ready"))))))</x:f>
        <x:v>Ready</x:v>
      </x:c>
    </x:row>
    <x:row r="7" ht="21" customHeight="1">
      <x:c r="A7" s="87" t="str">
        <x:f>'Invoice Entry'!A7</x:f>
        <x:v>INV-7003</x:v>
      </x:c>
      <x:c r="B7" s="88" t="str">
        <x:f>'Invoice Entry'!C7</x:f>
        <x:v>PO-9003</x:v>
      </x:c>
      <x:c r="C7" s="88" t="str">
        <x:f>'Invoice Entry'!B7</x:f>
        <x:v>V-103</x:v>
      </x:c>
      <x:c r="D7" s="89" t="n">
        <x:f>'Invoice Entry'!E7</x:f>
        <x:v>358</x:v>
      </x:c>
      <x:c r="E7" s="88" t="str">
        <x:f>IFERROR(INDEX('PO &amp; Receipt Log'!$B$5:$B$26,MATCH(B7,'PO &amp; Receipt Log'!$A$5:$A$26,0)),"No PO")</x:f>
        <x:v>V-103</x:v>
      </x:c>
      <x:c r="F7" s="89" t="n">
        <x:f>IFERROR(INDEX('PO &amp; Receipt Log'!$C$5:$C$26,MATCH(B7,'PO &amp; Receipt Log'!$A$5:$A$26,0)),"")</x:f>
        <x:v>358</x:v>
      </x:c>
      <x:c r="G7" s="88" t="str">
        <x:f>IFERROR(INDEX('PO &amp; Receipt Log'!$D$5:$D$26,MATCH(B7,'PO &amp; Receipt Log'!$A$5:$A$26,0)),"No PO")</x:f>
        <x:v>Received</x:v>
      </x:c>
      <x:c r="H7" s="89" t="n">
        <x:f>IF(F7="","",D7-F7)</x:f>
        <x:v>0</x:v>
      </x:c>
      <x:c r="I7" s="90" t="str">
        <x:f>IF(A7="","Missing invoice ID",IF(COUNTIF($A$5:$A$26,A7)&gt;1,"Duplicate invoice ID",IF(E7="No PO","PO not found",IF(C7&lt;&gt;E7,"Vendor mismatch",IF(G7&lt;&gt;"Received","Receipt pending",IF(ABS(H7)&gt;1,"Amount mismatch","Ready"))))))</x:f>
        <x:v>Ready</x:v>
      </x:c>
    </x:row>
    <x:row r="8" ht="21" customHeight="1">
      <x:c r="A8" s="91" t="str">
        <x:f>'Invoice Entry'!A8</x:f>
        <x:v>INV-7004</x:v>
      </x:c>
      <x:c r="B8" s="92" t="str">
        <x:f>'Invoice Entry'!C8</x:f>
        <x:v>PO-9004</x:v>
      </x:c>
      <x:c r="C8" s="92" t="str">
        <x:f>'Invoice Entry'!B8</x:f>
        <x:v>V-104</x:v>
      </x:c>
      <x:c r="D8" s="93" t="n">
        <x:f>'Invoice Entry'!E8</x:f>
        <x:v>399.5</x:v>
      </x:c>
      <x:c r="E8" s="92" t="str">
        <x:f>IFERROR(INDEX('PO &amp; Receipt Log'!$B$5:$B$26,MATCH(B8,'PO &amp; Receipt Log'!$A$5:$A$26,0)),"No PO")</x:f>
        <x:v>V-104</x:v>
      </x:c>
      <x:c r="F8" s="93" t="n">
        <x:f>IFERROR(INDEX('PO &amp; Receipt Log'!$C$5:$C$26,MATCH(B8,'PO &amp; Receipt Log'!$A$5:$A$26,0)),"")</x:f>
        <x:v>399.5</x:v>
      </x:c>
      <x:c r="G8" s="92" t="str">
        <x:f>IFERROR(INDEX('PO &amp; Receipt Log'!$D$5:$D$26,MATCH(B8,'PO &amp; Receipt Log'!$A$5:$A$26,0)),"No PO")</x:f>
        <x:v>Pending</x:v>
      </x:c>
      <x:c r="H8" s="93" t="n">
        <x:f>IF(F8="","",D8-F8)</x:f>
        <x:v>0</x:v>
      </x:c>
      <x:c r="I8" s="94" t="str">
        <x:f>IF(A8="","Missing invoice ID",IF(COUNTIF($A$5:$A$26,A8)&gt;1,"Duplicate invoice ID",IF(E8="No PO","PO not found",IF(C8&lt;&gt;E8,"Vendor mismatch",IF(G8&lt;&gt;"Received","Receipt pending",IF(ABS(H8)&gt;1,"Amount mismatch","Ready"))))))</x:f>
        <x:v>Receipt pending</x:v>
      </x:c>
    </x:row>
    <x:row r="9" ht="21" customHeight="1">
      <x:c r="A9" s="87" t="str">
        <x:f>'Invoice Entry'!A9</x:f>
        <x:v>INV-7005</x:v>
      </x:c>
      <x:c r="B9" s="88" t="str">
        <x:f>'Invoice Entry'!C9</x:f>
        <x:v>PO-9005</x:v>
      </x:c>
      <x:c r="C9" s="88" t="str">
        <x:f>'Invoice Entry'!B9</x:f>
        <x:v>V-106</x:v>
      </x:c>
      <x:c r="D9" s="89" t="n">
        <x:f>'Invoice Entry'!E9</x:f>
        <x:v>441</x:v>
      </x:c>
      <x:c r="E9" s="88" t="str">
        <x:f>IFERROR(INDEX('PO &amp; Receipt Log'!$B$5:$B$26,MATCH(B9,'PO &amp; Receipt Log'!$A$5:$A$26,0)),"No PO")</x:f>
        <x:v>V-105</x:v>
      </x:c>
      <x:c r="F9" s="89" t="n">
        <x:f>IFERROR(INDEX('PO &amp; Receipt Log'!$C$5:$C$26,MATCH(B9,'PO &amp; Receipt Log'!$A$5:$A$26,0)),"")</x:f>
        <x:v>441</x:v>
      </x:c>
      <x:c r="G9" s="88" t="str">
        <x:f>IFERROR(INDEX('PO &amp; Receipt Log'!$D$5:$D$26,MATCH(B9,'PO &amp; Receipt Log'!$A$5:$A$26,0)),"No PO")</x:f>
        <x:v>Received</x:v>
      </x:c>
      <x:c r="H9" s="89" t="n">
        <x:f>IF(F9="","",D9-F9)</x:f>
        <x:v>0</x:v>
      </x:c>
      <x:c r="I9" s="90" t="str">
        <x:f>IF(A9="","Missing invoice ID",IF(COUNTIF($A$5:$A$26,A9)&gt;1,"Duplicate invoice ID",IF(E9="No PO","PO not found",IF(C9&lt;&gt;E9,"Vendor mismatch",IF(G9&lt;&gt;"Received","Receipt pending",IF(ABS(H9)&gt;1,"Amount mismatch","Ready"))))))</x:f>
        <x:v>Vendor mismatch</x:v>
      </x:c>
    </x:row>
    <x:row r="10" ht="21" customHeight="1">
      <x:c r="A10" s="91" t="str">
        <x:f>'Invoice Entry'!A10</x:f>
        <x:v>INV-7006</x:v>
      </x:c>
      <x:c r="B10" s="92" t="str">
        <x:f>'Invoice Entry'!C10</x:f>
        <x:v>PO-9006</x:v>
      </x:c>
      <x:c r="C10" s="92" t="str">
        <x:f>'Invoice Entry'!B10</x:f>
        <x:v>V-106</x:v>
      </x:c>
      <x:c r="D10" s="93" t="n">
        <x:f>'Invoice Entry'!E10</x:f>
        <x:v>482.5</x:v>
      </x:c>
      <x:c r="E10" s="92" t="str">
        <x:f>IFERROR(INDEX('PO &amp; Receipt Log'!$B$5:$B$26,MATCH(B10,'PO &amp; Receipt Log'!$A$5:$A$26,0)),"No PO")</x:f>
        <x:v>V-106</x:v>
      </x:c>
      <x:c r="F10" s="93" t="n">
        <x:f>IFERROR(INDEX('PO &amp; Receipt Log'!$C$5:$C$26,MATCH(B10,'PO &amp; Receipt Log'!$A$5:$A$26,0)),"")</x:f>
        <x:v>482.5</x:v>
      </x:c>
      <x:c r="G10" s="92" t="str">
        <x:f>IFERROR(INDEX('PO &amp; Receipt Log'!$D$5:$D$26,MATCH(B10,'PO &amp; Receipt Log'!$A$5:$A$26,0)),"No PO")</x:f>
        <x:v>Received</x:v>
      </x:c>
      <x:c r="H10" s="93" t="n">
        <x:f>IF(F10="","",D10-F10)</x:f>
        <x:v>0</x:v>
      </x:c>
      <x:c r="I10" s="94" t="str">
        <x:f>IF(A10="","Missing invoice ID",IF(COUNTIF($A$5:$A$26,A10)&gt;1,"Duplicate invoice ID",IF(E10="No PO","PO not found",IF(C10&lt;&gt;E10,"Vendor mismatch",IF(G10&lt;&gt;"Received","Receipt pending",IF(ABS(H10)&gt;1,"Amount mismatch","Ready"))))))</x:f>
        <x:v>Ready</x:v>
      </x:c>
    </x:row>
    <x:row r="11" ht="21" customHeight="1">
      <x:c r="A11" s="87" t="str">
        <x:f>'Invoice Entry'!A11</x:f>
        <x:v>INV-7007</x:v>
      </x:c>
      <x:c r="B11" s="88" t="str">
        <x:f>'Invoice Entry'!C11</x:f>
        <x:v>PO-9007</x:v>
      </x:c>
      <x:c r="C11" s="88" t="str">
        <x:f>'Invoice Entry'!B11</x:f>
        <x:v>V-101</x:v>
      </x:c>
      <x:c r="D11" s="89" t="n">
        <x:f>'Invoice Entry'!E11</x:f>
        <x:v>524</x:v>
      </x:c>
      <x:c r="E11" s="88" t="str">
        <x:f>IFERROR(INDEX('PO &amp; Receipt Log'!$B$5:$B$26,MATCH(B11,'PO &amp; Receipt Log'!$A$5:$A$26,0)),"No PO")</x:f>
        <x:v>V-101</x:v>
      </x:c>
      <x:c r="F11" s="89" t="n">
        <x:f>IFERROR(INDEX('PO &amp; Receipt Log'!$C$5:$C$26,MATCH(B11,'PO &amp; Receipt Log'!$A$5:$A$26,0)),"")</x:f>
        <x:v>524</x:v>
      </x:c>
      <x:c r="G11" s="88" t="str">
        <x:f>IFERROR(INDEX('PO &amp; Receipt Log'!$D$5:$D$26,MATCH(B11,'PO &amp; Receipt Log'!$A$5:$A$26,0)),"No PO")</x:f>
        <x:v>Received</x:v>
      </x:c>
      <x:c r="H11" s="89" t="n">
        <x:f>IF(F11="","",D11-F11)</x:f>
        <x:v>0</x:v>
      </x:c>
      <x:c r="I11" s="90" t="str">
        <x:f>IF(A11="","Missing invoice ID",IF(COUNTIF($A$5:$A$26,A11)&gt;1,"Duplicate invoice ID",IF(E11="No PO","PO not found",IF(C11&lt;&gt;E11,"Vendor mismatch",IF(G11&lt;&gt;"Received","Receipt pending",IF(ABS(H11)&gt;1,"Amount mismatch","Ready"))))))</x:f>
        <x:v>Ready</x:v>
      </x:c>
    </x:row>
    <x:row r="12" ht="21" customHeight="1">
      <x:c r="A12" s="91" t="str">
        <x:f>'Invoice Entry'!A12</x:f>
        <x:v>INV-7008</x:v>
      </x:c>
      <x:c r="B12" s="92" t="str">
        <x:f>'Invoice Entry'!C12</x:f>
        <x:v>PO-9008</x:v>
      </x:c>
      <x:c r="C12" s="92" t="str">
        <x:f>'Invoice Entry'!B12</x:f>
        <x:v>V-102</x:v>
      </x:c>
      <x:c r="D12" s="93" t="n">
        <x:f>'Invoice Entry'!E12</x:f>
        <x:v>589.25</x:v>
      </x:c>
      <x:c r="E12" s="92" t="str">
        <x:f>IFERROR(INDEX('PO &amp; Receipt Log'!$B$5:$B$26,MATCH(B12,'PO &amp; Receipt Log'!$A$5:$A$26,0)),"No PO")</x:f>
        <x:v>V-102</x:v>
      </x:c>
      <x:c r="F12" s="93" t="n">
        <x:f>IFERROR(INDEX('PO &amp; Receipt Log'!$C$5:$C$26,MATCH(B12,'PO &amp; Receipt Log'!$A$5:$A$26,0)),"")</x:f>
        <x:v>565.5</x:v>
      </x:c>
      <x:c r="G12" s="92" t="str">
        <x:f>IFERROR(INDEX('PO &amp; Receipt Log'!$D$5:$D$26,MATCH(B12,'PO &amp; Receipt Log'!$A$5:$A$26,0)),"No PO")</x:f>
        <x:v>Received</x:v>
      </x:c>
      <x:c r="H12" s="93" t="n">
        <x:f>IF(F12="","",D12-F12)</x:f>
        <x:v>23.75</x:v>
      </x:c>
      <x:c r="I12" s="94" t="str">
        <x:f>IF(A12="","Missing invoice ID",IF(COUNTIF($A$5:$A$26,A12)&gt;1,"Duplicate invoice ID",IF(E12="No PO","PO not found",IF(C12&lt;&gt;E12,"Vendor mismatch",IF(G12&lt;&gt;"Received","Receipt pending",IF(ABS(H12)&gt;1,"Amount mismatch","Ready"))))))</x:f>
        <x:v>Amount mismatch</x:v>
      </x:c>
    </x:row>
    <x:row r="13" ht="21" customHeight="1">
      <x:c r="A13" s="87" t="str">
        <x:f>'Invoice Entry'!A13</x:f>
        <x:v>INV-7009</x:v>
      </x:c>
      <x:c r="B13" s="88" t="str">
        <x:f>'Invoice Entry'!C13</x:f>
        <x:v>PO-9009</x:v>
      </x:c>
      <x:c r="C13" s="88" t="str">
        <x:f>'Invoice Entry'!B13</x:f>
        <x:v>V-103</x:v>
      </x:c>
      <x:c r="D13" s="89" t="n">
        <x:f>'Invoice Entry'!E13</x:f>
        <x:v>607</x:v>
      </x:c>
      <x:c r="E13" s="88" t="str">
        <x:f>IFERROR(INDEX('PO &amp; Receipt Log'!$B$5:$B$26,MATCH(B13,'PO &amp; Receipt Log'!$A$5:$A$26,0)),"No PO")</x:f>
        <x:v>V-103</x:v>
      </x:c>
      <x:c r="F13" s="89" t="n">
        <x:f>IFERROR(INDEX('PO &amp; Receipt Log'!$C$5:$C$26,MATCH(B13,'PO &amp; Receipt Log'!$A$5:$A$26,0)),"")</x:f>
        <x:v>607</x:v>
      </x:c>
      <x:c r="G13" s="88" t="str">
        <x:f>IFERROR(INDEX('PO &amp; Receipt Log'!$D$5:$D$26,MATCH(B13,'PO &amp; Receipt Log'!$A$5:$A$26,0)),"No PO")</x:f>
        <x:v>Received</x:v>
      </x:c>
      <x:c r="H13" s="89" t="n">
        <x:f>IF(F13="","",D13-F13)</x:f>
        <x:v>0</x:v>
      </x:c>
      <x:c r="I13" s="90" t="str">
        <x:f>IF(A13="","Missing invoice ID",IF(COUNTIF($A$5:$A$26,A13)&gt;1,"Duplicate invoice ID",IF(E13="No PO","PO not found",IF(C13&lt;&gt;E13,"Vendor mismatch",IF(G13&lt;&gt;"Received","Receipt pending",IF(ABS(H13)&gt;1,"Amount mismatch","Ready"))))))</x:f>
        <x:v>Ready</x:v>
      </x:c>
    </x:row>
    <x:row r="14" ht="21" customHeight="1">
      <x:c r="A14" s="91" t="str">
        <x:f>'Invoice Entry'!A14</x:f>
        <x:v>INV-7010</x:v>
      </x:c>
      <x:c r="B14" s="92" t="str">
        <x:f>'Invoice Entry'!C14</x:f>
        <x:v>PO-9999</x:v>
      </x:c>
      <x:c r="C14" s="92" t="str">
        <x:f>'Invoice Entry'!B14</x:f>
        <x:v>V-104</x:v>
      </x:c>
      <x:c r="D14" s="93" t="n">
        <x:f>'Invoice Entry'!E14</x:f>
        <x:v>648.5</x:v>
      </x:c>
      <x:c r="E14" s="92" t="str">
        <x:f>IFERROR(INDEX('PO &amp; Receipt Log'!$B$5:$B$26,MATCH(B14,'PO &amp; Receipt Log'!$A$5:$A$26,0)),"No PO")</x:f>
        <x:v>No PO</x:v>
      </x:c>
      <x:c r="F14" s="93" t="str">
        <x:f>IFERROR(INDEX('PO &amp; Receipt Log'!$C$5:$C$26,MATCH(B14,'PO &amp; Receipt Log'!$A$5:$A$26,0)),"")</x:f>
      </x:c>
      <x:c r="G14" s="92" t="str">
        <x:f>IFERROR(INDEX('PO &amp; Receipt Log'!$D$5:$D$26,MATCH(B14,'PO &amp; Receipt Log'!$A$5:$A$26,0)),"No PO")</x:f>
        <x:v>No PO</x:v>
      </x:c>
      <x:c r="H14" s="93" t="str">
        <x:f>IF(F14="","",D14-F14)</x:f>
      </x:c>
      <x:c r="I14" s="94" t="str">
        <x:f>IF(A14="","Missing invoice ID",IF(COUNTIF($A$5:$A$26,A14)&gt;1,"Duplicate invoice ID",IF(E14="No PO","PO not found",IF(C14&lt;&gt;E14,"Vendor mismatch",IF(G14&lt;&gt;"Received","Receipt pending",IF(ABS(H14)&gt;1,"Amount mismatch","Ready"))))))</x:f>
        <x:v>PO not found</x:v>
      </x:c>
    </x:row>
    <x:row r="15" ht="21" customHeight="1">
      <x:c r="A15" s="87" t="str">
        <x:f>'Invoice Entry'!A15</x:f>
        <x:v>INV-7011</x:v>
      </x:c>
      <x:c r="B15" s="88" t="str">
        <x:f>'Invoice Entry'!C15</x:f>
        <x:v>PO-9011</x:v>
      </x:c>
      <x:c r="C15" s="88" t="str">
        <x:f>'Invoice Entry'!B15</x:f>
        <x:v>V-105</x:v>
      </x:c>
      <x:c r="D15" s="89" t="n">
        <x:f>'Invoice Entry'!E15</x:f>
        <x:v>690</x:v>
      </x:c>
      <x:c r="E15" s="88" t="str">
        <x:f>IFERROR(INDEX('PO &amp; Receipt Log'!$B$5:$B$26,MATCH(B15,'PO &amp; Receipt Log'!$A$5:$A$26,0)),"No PO")</x:f>
        <x:v>V-105</x:v>
      </x:c>
      <x:c r="F15" s="89" t="n">
        <x:f>IFERROR(INDEX('PO &amp; Receipt Log'!$C$5:$C$26,MATCH(B15,'PO &amp; Receipt Log'!$A$5:$A$26,0)),"")</x:f>
        <x:v>690</x:v>
      </x:c>
      <x:c r="G15" s="88" t="str">
        <x:f>IFERROR(INDEX('PO &amp; Receipt Log'!$D$5:$D$26,MATCH(B15,'PO &amp; Receipt Log'!$A$5:$A$26,0)),"No PO")</x:f>
        <x:v>Received</x:v>
      </x:c>
      <x:c r="H15" s="89" t="n">
        <x:f>IF(F15="","",D15-F15)</x:f>
        <x:v>0</x:v>
      </x:c>
      <x:c r="I15" s="90" t="str">
        <x:f>IF(A15="","Missing invoice ID",IF(COUNTIF($A$5:$A$26,A15)&gt;1,"Duplicate invoice ID",IF(E15="No PO","PO not found",IF(C15&lt;&gt;E15,"Vendor mismatch",IF(G15&lt;&gt;"Received","Receipt pending",IF(ABS(H15)&gt;1,"Amount mismatch","Ready"))))))</x:f>
        <x:v>Ready</x:v>
      </x:c>
    </x:row>
    <x:row r="16" ht="21" customHeight="1">
      <x:c r="A16" s="91" t="str">
        <x:f>'Invoice Entry'!A16</x:f>
        <x:v>INV-7012</x:v>
      </x:c>
      <x:c r="B16" s="92" t="str">
        <x:f>'Invoice Entry'!C16</x:f>
        <x:v>PO-9012</x:v>
      </x:c>
      <x:c r="C16" s="92" t="str">
        <x:f>'Invoice Entry'!B16</x:f>
        <x:v>V-106</x:v>
      </x:c>
      <x:c r="D16" s="93" t="n">
        <x:f>'Invoice Entry'!E16</x:f>
        <x:v>731.5</x:v>
      </x:c>
      <x:c r="E16" s="92" t="str">
        <x:f>IFERROR(INDEX('PO &amp; Receipt Log'!$B$5:$B$26,MATCH(B16,'PO &amp; Receipt Log'!$A$5:$A$26,0)),"No PO")</x:f>
        <x:v>V-106</x:v>
      </x:c>
      <x:c r="F16" s="93" t="n">
        <x:f>IFERROR(INDEX('PO &amp; Receipt Log'!$C$5:$C$26,MATCH(B16,'PO &amp; Receipt Log'!$A$5:$A$26,0)),"")</x:f>
        <x:v>731.5</x:v>
      </x:c>
      <x:c r="G16" s="92" t="str">
        <x:f>IFERROR(INDEX('PO &amp; Receipt Log'!$D$5:$D$26,MATCH(B16,'PO &amp; Receipt Log'!$A$5:$A$26,0)),"No PO")</x:f>
        <x:v>Received</x:v>
      </x:c>
      <x:c r="H16" s="93" t="n">
        <x:f>IF(F16="","",D16-F16)</x:f>
        <x:v>0</x:v>
      </x:c>
      <x:c r="I16" s="94" t="str">
        <x:f>IF(A16="","Missing invoice ID",IF(COUNTIF($A$5:$A$26,A16)&gt;1,"Duplicate invoice ID",IF(E16="No PO","PO not found",IF(C16&lt;&gt;E16,"Vendor mismatch",IF(G16&lt;&gt;"Received","Receipt pending",IF(ABS(H16)&gt;1,"Amount mismatch","Ready"))))))</x:f>
        <x:v>Ready</x:v>
      </x:c>
    </x:row>
    <x:row r="17" ht="21" customHeight="1">
      <x:c r="A17" s="87" t="str">
        <x:f>'Invoice Entry'!A17</x:f>
        <x:v>INV-7013</x:v>
      </x:c>
      <x:c r="B17" s="88" t="str">
        <x:f>'Invoice Entry'!C17</x:f>
        <x:v>PO-9013</x:v>
      </x:c>
      <x:c r="C17" s="88" t="str">
        <x:f>'Invoice Entry'!B17</x:f>
        <x:v>V-101</x:v>
      </x:c>
      <x:c r="D17" s="89" t="n">
        <x:f>'Invoice Entry'!E17</x:f>
        <x:v>773</x:v>
      </x:c>
      <x:c r="E17" s="88" t="str">
        <x:f>IFERROR(INDEX('PO &amp; Receipt Log'!$B$5:$B$26,MATCH(B17,'PO &amp; Receipt Log'!$A$5:$A$26,0)),"No PO")</x:f>
        <x:v>V-101</x:v>
      </x:c>
      <x:c r="F17" s="89" t="n">
        <x:f>IFERROR(INDEX('PO &amp; Receipt Log'!$C$5:$C$26,MATCH(B17,'PO &amp; Receipt Log'!$A$5:$A$26,0)),"")</x:f>
        <x:v>773</x:v>
      </x:c>
      <x:c r="G17" s="88" t="str">
        <x:f>IFERROR(INDEX('PO &amp; Receipt Log'!$D$5:$D$26,MATCH(B17,'PO &amp; Receipt Log'!$A$5:$A$26,0)),"No PO")</x:f>
        <x:v>Received</x:v>
      </x:c>
      <x:c r="H17" s="89" t="n">
        <x:f>IF(F17="","",D17-F17)</x:f>
        <x:v>0</x:v>
      </x:c>
      <x:c r="I17" s="90" t="str">
        <x:f>IF(A17="","Missing invoice ID",IF(COUNTIF($A$5:$A$26,A17)&gt;1,"Duplicate invoice ID",IF(E17="No PO","PO not found",IF(C17&lt;&gt;E17,"Vendor mismatch",IF(G17&lt;&gt;"Received","Receipt pending",IF(ABS(H17)&gt;1,"Amount mismatch","Ready"))))))</x:f>
        <x:v>Ready</x:v>
      </x:c>
    </x:row>
    <x:row r="18" ht="21" customHeight="1">
      <x:c r="A18" s="91" t="str">
        <x:f>'Invoice Entry'!A18</x:f>
        <x:v>INV-7014</x:v>
      </x:c>
      <x:c r="B18" s="92" t="str">
        <x:f>'Invoice Entry'!C18</x:f>
        <x:v>PO-9014</x:v>
      </x:c>
      <x:c r="C18" s="92" t="str">
        <x:f>'Invoice Entry'!B18</x:f>
        <x:v>V-102</x:v>
      </x:c>
      <x:c r="D18" s="93" t="n">
        <x:f>'Invoice Entry'!E18</x:f>
        <x:v>814.5</x:v>
      </x:c>
      <x:c r="E18" s="92" t="str">
        <x:f>IFERROR(INDEX('PO &amp; Receipt Log'!$B$5:$B$26,MATCH(B18,'PO &amp; Receipt Log'!$A$5:$A$26,0)),"No PO")</x:f>
        <x:v>V-102</x:v>
      </x:c>
      <x:c r="F18" s="93" t="n">
        <x:f>IFERROR(INDEX('PO &amp; Receipt Log'!$C$5:$C$26,MATCH(B18,'PO &amp; Receipt Log'!$A$5:$A$26,0)),"")</x:f>
        <x:v>814.5</x:v>
      </x:c>
      <x:c r="G18" s="92" t="str">
        <x:f>IFERROR(INDEX('PO &amp; Receipt Log'!$D$5:$D$26,MATCH(B18,'PO &amp; Receipt Log'!$A$5:$A$26,0)),"No PO")</x:f>
        <x:v>Received</x:v>
      </x:c>
      <x:c r="H18" s="93" t="n">
        <x:f>IF(F18="","",D18-F18)</x:f>
        <x:v>0</x:v>
      </x:c>
      <x:c r="I18" s="94" t="str">
        <x:f>IF(A18="","Missing invoice ID",IF(COUNTIF($A$5:$A$26,A18)&gt;1,"Duplicate invoice ID",IF(E18="No PO","PO not found",IF(C18&lt;&gt;E18,"Vendor mismatch",IF(G18&lt;&gt;"Received","Receipt pending",IF(ABS(H18)&gt;1,"Amount mismatch","Ready"))))))</x:f>
        <x:v>Ready</x:v>
      </x:c>
    </x:row>
    <x:row r="19" ht="21" customHeight="1">
      <x:c r="A19" s="87" t="str">
        <x:f>'Invoice Entry'!A19</x:f>
        <x:v>INV-7015</x:v>
      </x:c>
      <x:c r="B19" s="88" t="str">
        <x:f>'Invoice Entry'!C19</x:f>
        <x:v>PO-9015</x:v>
      </x:c>
      <x:c r="C19" s="88" t="str">
        <x:f>'Invoice Entry'!B19</x:f>
        <x:v>V-103</x:v>
      </x:c>
      <x:c r="D19" s="89" t="n">
        <x:f>'Invoice Entry'!E19</x:f>
        <x:v>856</x:v>
      </x:c>
      <x:c r="E19" s="88" t="str">
        <x:f>IFERROR(INDEX('PO &amp; Receipt Log'!$B$5:$B$26,MATCH(B19,'PO &amp; Receipt Log'!$A$5:$A$26,0)),"No PO")</x:f>
        <x:v>V-103</x:v>
      </x:c>
      <x:c r="F19" s="89" t="n">
        <x:f>IFERROR(INDEX('PO &amp; Receipt Log'!$C$5:$C$26,MATCH(B19,'PO &amp; Receipt Log'!$A$5:$A$26,0)),"")</x:f>
        <x:v>856</x:v>
      </x:c>
      <x:c r="G19" s="88" t="str">
        <x:f>IFERROR(INDEX('PO &amp; Receipt Log'!$D$5:$D$26,MATCH(B19,'PO &amp; Receipt Log'!$A$5:$A$26,0)),"No PO")</x:f>
        <x:v>Pending</x:v>
      </x:c>
      <x:c r="H19" s="89" t="n">
        <x:f>IF(F19="","",D19-F19)</x:f>
        <x:v>0</x:v>
      </x:c>
      <x:c r="I19" s="90" t="str">
        <x:f>IF(A19="","Missing invoice ID",IF(COUNTIF($A$5:$A$26,A19)&gt;1,"Duplicate invoice ID",IF(E19="No PO","PO not found",IF(C19&lt;&gt;E19,"Vendor mismatch",IF(G19&lt;&gt;"Received","Receipt pending",IF(ABS(H19)&gt;1,"Amount mismatch","Ready"))))))</x:f>
        <x:v>Receipt pending</x:v>
      </x:c>
    </x:row>
    <x:row r="20" ht="21" customHeight="1">
      <x:c r="A20" s="91" t="str">
        <x:f>'Invoice Entry'!A20</x:f>
        <x:v>INV-7016</x:v>
      </x:c>
      <x:c r="B20" s="92" t="str">
        <x:f>'Invoice Entry'!C20</x:f>
        <x:v>PO-9016</x:v>
      </x:c>
      <x:c r="C20" s="92" t="str">
        <x:f>'Invoice Entry'!B20</x:f>
        <x:v>V-104</x:v>
      </x:c>
      <x:c r="D20" s="93" t="n">
        <x:f>'Invoice Entry'!E20</x:f>
        <x:v>897.5</x:v>
      </x:c>
      <x:c r="E20" s="92" t="str">
        <x:f>IFERROR(INDEX('PO &amp; Receipt Log'!$B$5:$B$26,MATCH(B20,'PO &amp; Receipt Log'!$A$5:$A$26,0)),"No PO")</x:f>
        <x:v>V-104</x:v>
      </x:c>
      <x:c r="F20" s="93" t="n">
        <x:f>IFERROR(INDEX('PO &amp; Receipt Log'!$C$5:$C$26,MATCH(B20,'PO &amp; Receipt Log'!$A$5:$A$26,0)),"")</x:f>
        <x:v>897.5</x:v>
      </x:c>
      <x:c r="G20" s="92" t="str">
        <x:f>IFERROR(INDEX('PO &amp; Receipt Log'!$D$5:$D$26,MATCH(B20,'PO &amp; Receipt Log'!$A$5:$A$26,0)),"No PO")</x:f>
        <x:v>Received</x:v>
      </x:c>
      <x:c r="H20" s="93" t="n">
        <x:f>IF(F20="","",D20-F20)</x:f>
        <x:v>0</x:v>
      </x:c>
      <x:c r="I20" s="94" t="str">
        <x:f>IF(A20="","Missing invoice ID",IF(COUNTIF($A$5:$A$26,A20)&gt;1,"Duplicate invoice ID",IF(E20="No PO","PO not found",IF(C20&lt;&gt;E20,"Vendor mismatch",IF(G20&lt;&gt;"Received","Receipt pending",IF(ABS(H20)&gt;1,"Amount mismatch","Ready"))))))</x:f>
        <x:v>Ready</x:v>
      </x:c>
    </x:row>
    <x:row r="21" ht="21" customHeight="1">
      <x:c r="A21" s="87" t="str">
        <x:f>'Invoice Entry'!A21</x:f>
        <x:v>INV-7017</x:v>
      </x:c>
      <x:c r="B21" s="88" t="str">
        <x:f>'Invoice Entry'!C21</x:f>
        <x:v>PO-9017</x:v>
      </x:c>
      <x:c r="C21" s="88" t="str">
        <x:f>'Invoice Entry'!B21</x:f>
        <x:v>V-105</x:v>
      </x:c>
      <x:c r="D21" s="89" t="n">
        <x:f>'Invoice Entry'!E21</x:f>
        <x:v>939</x:v>
      </x:c>
      <x:c r="E21" s="88" t="str">
        <x:f>IFERROR(INDEX('PO &amp; Receipt Log'!$B$5:$B$26,MATCH(B21,'PO &amp; Receipt Log'!$A$5:$A$26,0)),"No PO")</x:f>
        <x:v>V-105</x:v>
      </x:c>
      <x:c r="F21" s="89" t="n">
        <x:f>IFERROR(INDEX('PO &amp; Receipt Log'!$C$5:$C$26,MATCH(B21,'PO &amp; Receipt Log'!$A$5:$A$26,0)),"")</x:f>
        <x:v>939</x:v>
      </x:c>
      <x:c r="G21" s="88" t="str">
        <x:f>IFERROR(INDEX('PO &amp; Receipt Log'!$D$5:$D$26,MATCH(B21,'PO &amp; Receipt Log'!$A$5:$A$26,0)),"No PO")</x:f>
        <x:v>Received</x:v>
      </x:c>
      <x:c r="H21" s="89" t="n">
        <x:f>IF(F21="","",D21-F21)</x:f>
        <x:v>0</x:v>
      </x:c>
      <x:c r="I21" s="90" t="str">
        <x:f>IF(A21="","Missing invoice ID",IF(COUNTIF($A$5:$A$26,A21)&gt;1,"Duplicate invoice ID",IF(E21="No PO","PO not found",IF(C21&lt;&gt;E21,"Vendor mismatch",IF(G21&lt;&gt;"Received","Receipt pending",IF(ABS(H21)&gt;1,"Amount mismatch","Ready"))))))</x:f>
        <x:v>Ready</x:v>
      </x:c>
    </x:row>
    <x:row r="22" ht="21" customHeight="1">
      <x:c r="A22" s="91" t="str">
        <x:f>'Invoice Entry'!A22</x:f>
        <x:v>INV-7018</x:v>
      </x:c>
      <x:c r="B22" s="92" t="str">
        <x:f>'Invoice Entry'!C22</x:f>
        <x:v>PO-9018</x:v>
      </x:c>
      <x:c r="C22" s="92" t="str">
        <x:f>'Invoice Entry'!B22</x:f>
        <x:v>V-106</x:v>
      </x:c>
      <x:c r="D22" s="93" t="n">
        <x:f>'Invoice Entry'!E22</x:f>
        <x:v>980.5</x:v>
      </x:c>
      <x:c r="E22" s="92" t="str">
        <x:f>IFERROR(INDEX('PO &amp; Receipt Log'!$B$5:$B$26,MATCH(B22,'PO &amp; Receipt Log'!$A$5:$A$26,0)),"No PO")</x:f>
        <x:v>V-106</x:v>
      </x:c>
      <x:c r="F22" s="93" t="n">
        <x:f>IFERROR(INDEX('PO &amp; Receipt Log'!$C$5:$C$26,MATCH(B22,'PO &amp; Receipt Log'!$A$5:$A$26,0)),"")</x:f>
        <x:v>980.5</x:v>
      </x:c>
      <x:c r="G22" s="92" t="str">
        <x:f>IFERROR(INDEX('PO &amp; Receipt Log'!$D$5:$D$26,MATCH(B22,'PO &amp; Receipt Log'!$A$5:$A$26,0)),"No PO")</x:f>
        <x:v>Received</x:v>
      </x:c>
      <x:c r="H22" s="93" t="n">
        <x:f>IF(F22="","",D22-F22)</x:f>
        <x:v>0</x:v>
      </x:c>
      <x:c r="I22" s="94" t="str">
        <x:f>IF(A22="","Missing invoice ID",IF(COUNTIF($A$5:$A$26,A22)&gt;1,"Duplicate invoice ID",IF(E22="No PO","PO not found",IF(C22&lt;&gt;E22,"Vendor mismatch",IF(G22&lt;&gt;"Received","Receipt pending",IF(ABS(H22)&gt;1,"Amount mismatch","Ready"))))))</x:f>
        <x:v>Ready</x:v>
      </x:c>
    </x:row>
    <x:row r="23" ht="21" customHeight="1">
      <x:c r="A23" s="87" t="str">
        <x:f>'Invoice Entry'!A23</x:f>
        <x:v>INV-7001</x:v>
      </x:c>
      <x:c r="B23" s="88" t="str">
        <x:f>'Invoice Entry'!C23</x:f>
        <x:v>PO-9019</x:v>
      </x:c>
      <x:c r="C23" s="88" t="str">
        <x:f>'Invoice Entry'!B23</x:f>
        <x:v>V-101</x:v>
      </x:c>
      <x:c r="D23" s="89" t="n">
        <x:f>'Invoice Entry'!E23</x:f>
        <x:v>1022</x:v>
      </x:c>
      <x:c r="E23" s="88" t="str">
        <x:f>IFERROR(INDEX('PO &amp; Receipt Log'!$B$5:$B$26,MATCH(B23,'PO &amp; Receipt Log'!$A$5:$A$26,0)),"No PO")</x:f>
        <x:v>V-101</x:v>
      </x:c>
      <x:c r="F23" s="89" t="n">
        <x:f>IFERROR(INDEX('PO &amp; Receipt Log'!$C$5:$C$26,MATCH(B23,'PO &amp; Receipt Log'!$A$5:$A$26,0)),"")</x:f>
        <x:v>1022</x:v>
      </x:c>
      <x:c r="G23" s="88" t="str">
        <x:f>IFERROR(INDEX('PO &amp; Receipt Log'!$D$5:$D$26,MATCH(B23,'PO &amp; Receipt Log'!$A$5:$A$26,0)),"No PO")</x:f>
        <x:v>Received</x:v>
      </x:c>
      <x:c r="H23" s="89" t="n">
        <x:f>IF(F23="","",D23-F23)</x:f>
        <x:v>0</x:v>
      </x:c>
      <x:c r="I23" s="90" t="str">
        <x:f>IF(A23="","Missing invoice ID",IF(COUNTIF($A$5:$A$26,A23)&gt;1,"Duplicate invoice ID",IF(E23="No PO","PO not found",IF(C23&lt;&gt;E23,"Vendor mismatch",IF(G23&lt;&gt;"Received","Receipt pending",IF(ABS(H23)&gt;1,"Amount mismatch","Ready"))))))</x:f>
        <x:v>Duplicate invoice ID</x:v>
      </x:c>
    </x:row>
    <x:row r="24" ht="21" customHeight="1">
      <x:c r="A24" s="91" t="str">
        <x:f>'Invoice Entry'!A24</x:f>
        <x:v>INV-7020</x:v>
      </x:c>
      <x:c r="B24" s="92" t="str">
        <x:f>'Invoice Entry'!C24</x:f>
        <x:v>PO-9020</x:v>
      </x:c>
      <x:c r="C24" s="92" t="str">
        <x:f>'Invoice Entry'!B24</x:f>
        <x:v>V-102</x:v>
      </x:c>
      <x:c r="D24" s="93" t="n">
        <x:f>'Invoice Entry'!E24</x:f>
        <x:v>1063.5</x:v>
      </x:c>
      <x:c r="E24" s="92" t="str">
        <x:f>IFERROR(INDEX('PO &amp; Receipt Log'!$B$5:$B$26,MATCH(B24,'PO &amp; Receipt Log'!$A$5:$A$26,0)),"No PO")</x:f>
        <x:v>V-102</x:v>
      </x:c>
      <x:c r="F24" s="93" t="n">
        <x:f>IFERROR(INDEX('PO &amp; Receipt Log'!$C$5:$C$26,MATCH(B24,'PO &amp; Receipt Log'!$A$5:$A$26,0)),"")</x:f>
        <x:v>1063.5</x:v>
      </x:c>
      <x:c r="G24" s="92" t="str">
        <x:f>IFERROR(INDEX('PO &amp; Receipt Log'!$D$5:$D$26,MATCH(B24,'PO &amp; Receipt Log'!$A$5:$A$26,0)),"No PO")</x:f>
        <x:v>Received</x:v>
      </x:c>
      <x:c r="H24" s="93" t="n">
        <x:f>IF(F24="","",D24-F24)</x:f>
        <x:v>0</x:v>
      </x:c>
      <x:c r="I24" s="94" t="str">
        <x:f>IF(A24="","Missing invoice ID",IF(COUNTIF($A$5:$A$26,A24)&gt;1,"Duplicate invoice ID",IF(E24="No PO","PO not found",IF(C24&lt;&gt;E24,"Vendor mismatch",IF(G24&lt;&gt;"Received","Receipt pending",IF(ABS(H24)&gt;1,"Amount mismatch","Ready"))))))</x:f>
        <x:v>Ready</x:v>
      </x:c>
    </x:row>
    <x:row r="25" ht="21" customHeight="1">
      <x:c r="A25" s="87" t="str">
        <x:f>'Invoice Entry'!A25</x:f>
        <x:v>INV-7021</x:v>
      </x:c>
      <x:c r="B25" s="88" t="str">
        <x:f>'Invoice Entry'!C25</x:f>
        <x:v>PO-9021</x:v>
      </x:c>
      <x:c r="C25" s="88" t="str">
        <x:f>'Invoice Entry'!B25</x:f>
        <x:v>V-103</x:v>
      </x:c>
      <x:c r="D25" s="89" t="n">
        <x:f>'Invoice Entry'!E25</x:f>
        <x:v>1105</x:v>
      </x:c>
      <x:c r="E25" s="88" t="str">
        <x:f>IFERROR(INDEX('PO &amp; Receipt Log'!$B$5:$B$26,MATCH(B25,'PO &amp; Receipt Log'!$A$5:$A$26,0)),"No PO")</x:f>
        <x:v>V-103</x:v>
      </x:c>
      <x:c r="F25" s="89" t="n">
        <x:f>IFERROR(INDEX('PO &amp; Receipt Log'!$C$5:$C$26,MATCH(B25,'PO &amp; Receipt Log'!$A$5:$A$26,0)),"")</x:f>
        <x:v>1105</x:v>
      </x:c>
      <x:c r="G25" s="88" t="str">
        <x:f>IFERROR(INDEX('PO &amp; Receipt Log'!$D$5:$D$26,MATCH(B25,'PO &amp; Receipt Log'!$A$5:$A$26,0)),"No PO")</x:f>
        <x:v>Received</x:v>
      </x:c>
      <x:c r="H25" s="89" t="n">
        <x:f>IF(F25="","",D25-F25)</x:f>
        <x:v>0</x:v>
      </x:c>
      <x:c r="I25" s="90" t="str">
        <x:f>IF(A25="","Missing invoice ID",IF(COUNTIF($A$5:$A$26,A25)&gt;1,"Duplicate invoice ID",IF(E25="No PO","PO not found",IF(C25&lt;&gt;E25,"Vendor mismatch",IF(G25&lt;&gt;"Received","Receipt pending",IF(ABS(H25)&gt;1,"Amount mismatch","Ready"))))))</x:f>
        <x:v>Ready</x:v>
      </x:c>
    </x:row>
    <x:row r="26" ht="21" customHeight="1">
      <x:c r="A26" s="91" t="n">
        <x:f>'Invoice Entry'!A26</x:f>
        <x:v>0</x:v>
      </x:c>
      <x:c r="B26" s="92" t="str">
        <x:f>'Invoice Entry'!C26</x:f>
        <x:v>PO-9022</x:v>
      </x:c>
      <x:c r="C26" s="92" t="str">
        <x:f>'Invoice Entry'!B26</x:f>
        <x:v>V-104</x:v>
      </x:c>
      <x:c r="D26" s="93" t="n">
        <x:f>'Invoice Entry'!E26</x:f>
        <x:v>1146.5</x:v>
      </x:c>
      <x:c r="E26" s="92" t="str">
        <x:f>IFERROR(INDEX('PO &amp; Receipt Log'!$B$5:$B$26,MATCH(B26,'PO &amp; Receipt Log'!$A$5:$A$26,0)),"No PO")</x:f>
        <x:v>V-104</x:v>
      </x:c>
      <x:c r="F26" s="93" t="n">
        <x:f>IFERROR(INDEX('PO &amp; Receipt Log'!$C$5:$C$26,MATCH(B26,'PO &amp; Receipt Log'!$A$5:$A$26,0)),"")</x:f>
        <x:v>1146.5</x:v>
      </x:c>
      <x:c r="G26" s="92" t="str">
        <x:f>IFERROR(INDEX('PO &amp; Receipt Log'!$D$5:$D$26,MATCH(B26,'PO &amp; Receipt Log'!$A$5:$A$26,0)),"No PO")</x:f>
        <x:v>Received</x:v>
      </x:c>
      <x:c r="H26" s="93" t="n">
        <x:f>IF(F26="","",D26-F26)</x:f>
        <x:v>0</x:v>
      </x:c>
      <x:c r="I26" s="94" t="str">
        <x:f>IF(A26="","Missing invoice ID",IF(COUNTIF($A$5:$A$26,A26)&gt;1,"Duplicate invoice ID",IF(E26="No PO","PO not found",IF(C26&lt;&gt;E26,"Vendor mismatch",IF(G26&lt;&gt;"Received","Receipt pending",IF(ABS(H26)&gt;1,"Amount mismatch","Ready"))))))</x:f>
        <x:v>Missing invoice ID</x:v>
      </x:c>
    </x:row>
  </x:sheetData>
  <x:conditionalFormatting sqref="I5:I26">
    <x:cfRule type="containsText" dxfId="0" priority="1" operator="containsText" text="Ready"/>
    <x:cfRule type="containsText" dxfId="1" priority="2" operator="containsText" text="Eligible"/>
    <x:cfRule type="containsText" dxfId="2" priority="3" operator="containsText" text="Mismatch"/>
    <x:cfRule type="containsText" dxfId="3" priority="4" operator="containsText" text="Duplicate"/>
  </x:conditionalFormatting>
  <x:pageMargins left="0.7" right="0.7" top="0.75" bottom="0.75" header="0.3" footer="0.3"/>
  <x:tableParts count="1">
    <x:tablePart xmlns:r="http://schemas.openxmlformats.org/officeDocument/2006/relationships" r:id="R98957715c06645ca"/>
  </x:tableParts>
</x:worksheet>
</file>

<file path=xl/worksheets/sheet5.xml><?xml version="1.0" encoding="utf-8"?>
<x:worksheet xmlns:x="http://schemas.openxmlformats.org/spreadsheetml/2006/main">
  <x:sheetPr>
    <x:tabColor rgb="FFA56B1F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13" hidden="0" customWidth="1"/>
    <x:col min="3" max="3" width="53" hidden="0" customWidth="1"/>
    <x:col min="4" max="4" width="59" hidden="0" customWidth="1"/>
  </x:cols>
  <x:sheetData>
    <x:row r="1" ht="27" customHeight="1">
      <x:c r="A1" s="95" t="str">
        <x:v>Invoice capture and review rules</x:v>
      </x:c>
      <x:c r="B1" s="95"/>
      <x:c r="C1" s="95"/>
      <x:c r="D1" s="95"/>
    </x:row>
    <x:row r="2" ht="24" customHeight="1">
      <x:c r="A2" s="16" t="str">
        <x:v>A consistent checklist for transcribing invoices and escalating exceptions.</x:v>
      </x:c>
      <x:c r="B2" s="16"/>
      <x:c r="C2" s="16"/>
      <x:c r="D2" s="16"/>
    </x:row>
    <x:row r="4" ht="30" customHeight="1">
      <x:c r="A4" s="96" t="str">
        <x:v>Check</x:v>
      </x:c>
      <x:c r="B4" s="96" t="str">
        <x:v>Required</x:v>
      </x:c>
      <x:c r="C4" s="96" t="str">
        <x:v>Rule</x:v>
      </x:c>
      <x:c r="D4" s="96" t="str">
        <x:v>Action when it fails</x:v>
      </x:c>
    </x:row>
    <x:row r="5" ht="21" customHeight="1">
      <x:c r="A5" s="97" t="str">
        <x:v>Invoice ID</x:v>
      </x:c>
      <x:c r="B5" s="97" t="str">
        <x:v>Yes</x:v>
      </x:c>
      <x:c r="C5" s="97" t="str">
        <x:v>Capture the number exactly as printed.</x:v>
      </x:c>
      <x:c r="D5" s="97" t="str">
        <x:v>Check for a duplicate or missing identifier.</x:v>
      </x:c>
    </x:row>
    <x:row r="6" ht="21" customHeight="1">
      <x:c r="A6" s="98" t="str">
        <x:v>Vendor ID</x:v>
      </x:c>
      <x:c r="B6" s="98" t="str">
        <x:v>Yes</x:v>
      </x:c>
      <x:c r="C6" s="98" t="str">
        <x:v>Match the supplier on the approved PO.</x:v>
      </x:c>
      <x:c r="D6" s="98" t="str">
        <x:v>Hold and confirm the correct supplier.</x:v>
      </x:c>
    </x:row>
    <x:row r="7" ht="21" customHeight="1">
      <x:c r="A7" s="97" t="str">
        <x:v>PO Number</x:v>
      </x:c>
      <x:c r="B7" s="97" t="str">
        <x:v>Yes</x:v>
      </x:c>
      <x:c r="C7" s="97" t="str">
        <x:v>Use the PO cited by the invoice.</x:v>
      </x:c>
      <x:c r="D7" s="97" t="str">
        <x:v>Route to AP for PO lookup if no match exists.</x:v>
      </x:c>
    </x:row>
    <x:row r="8" ht="21" customHeight="1">
      <x:c r="A8" s="98" t="str">
        <x:v>Invoice Total</x:v>
      </x:c>
      <x:c r="B8" s="98" t="str">
        <x:v>Yes</x:v>
      </x:c>
      <x:c r="C8" s="98" t="str">
        <x:v>Capture the total due, including tax where shown.</x:v>
      </x:c>
      <x:c r="D8" s="98" t="str">
        <x:v>Compare with the approved PO total.</x:v>
      </x:c>
    </x:row>
    <x:row r="9" ht="21" customHeight="1">
      <x:c r="A9" s="97" t="str">
        <x:v>Receipt Status</x:v>
      </x:c>
      <x:c r="B9" s="97" t="str">
        <x:v>Yes</x:v>
      </x:c>
      <x:c r="C9" s="97" t="str">
        <x:v>Confirm receipt is recorded before routing.</x:v>
      </x:c>
      <x:c r="D9" s="97" t="str">
        <x:v>Keep the invoice pending until receipt is confirmed.</x:v>
      </x:c>
    </x:row>
    <x:row r="10" ht="21" customHeight="1">
      <x:c r="A10" s="98" t="str">
        <x:v>Variance</x:v>
      </x:c>
      <x:c r="B10" s="98" t="str">
        <x:v>Yes</x:v>
      </x:c>
      <x:c r="C10" s="98" t="str">
        <x:v>A difference greater than $1.00 needs review.</x:v>
      </x:c>
      <x:c r="D10" s="98" t="str">
        <x:v>Check line detail and supporting documents.</x:v>
      </x:c>
    </x:row>
  </x:sheetData>
  <x:pageMargins left="0.7" right="0.7" top="0.75" bottom="0.75" header="0.3" footer="0.3"/>
  <x:tableParts count="1">
    <x:tablePart xmlns:r="http://schemas.openxmlformats.org/officeDocument/2006/relationships" r:id="R4e2ecfe3d19c41a8"/>
  </x:tableParts>
</x:worksheet>
</file>