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863d8355f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173ad4e242942df"/>
    <x:sheet xmlns:r="http://schemas.openxmlformats.org/officeDocument/2006/relationships" name="Batch Log" sheetId="2" r:id="R567d4e01e30041de"/>
    <x:sheet xmlns:r="http://schemas.openxmlformats.org/officeDocument/2006/relationships" name="Error Log" sheetId="3" r:id="Rc97bc3a09be2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yyyy-mm-dd"/>
  </x:numFmts>
  <x:fonts count="16">
    <x:font>
      <x:sz val="11"/>
      <x:name val="Carlito"/>
    </x:font>
    <x:font>
      <x:b/>
      <x:sz val="17"/>
      <x:color rgb="FF1F3A5F"/>
      <x:name val="Arial"/>
    </x:font>
    <x:font>
      <x:i/>
      <x:sz val="10"/>
      <x:color rgb="FF526174"/>
      <x:name val="Arial"/>
    </x:font>
    <x:font>
      <x:b/>
      <x:sz val="10"/>
      <x:color rgb="FFFFFFFF"/>
      <x:name val="Arial"/>
    </x:font>
    <x:font>
      <x:sz val="10"/>
      <x:color rgb="FF243247"/>
      <x:name val="Arial"/>
    </x:font>
    <x:font>
      <x:b/>
      <x:sz val="10"/>
      <x:color rgb="FF1F3A5F"/>
      <x:name val="Arial"/>
    </x:font>
    <x:font>
      <x:b/>
      <x:sz val="11"/>
      <x:color rgb="FF1F3A5F"/>
      <x:name val="Arial"/>
    </x:font>
    <x:font>
      <x:i/>
      <x:sz val="9"/>
      <x:color rgb="FF526174"/>
      <x:name val="Arial"/>
    </x:font>
    <x:font>
      <x:b/>
      <x:sz val="10"/>
      <x:color rgb="FF243247"/>
      <x:name val="Arial"/>
    </x:font>
    <x:font>
      <x:i/>
      <x:sz val="10"/>
      <x:color rgb="FF243247"/>
      <x:name val="Arial"/>
    </x:font>
    <x:font>
      <x:b/>
      <x:sz val="16"/>
      <x:color rgb="FF1F3A5F"/>
      <x:name val="Arial"/>
    </x:font>
    <x:font>
      <x:b/>
      <x:sz val="16"/>
      <x:color rgb="FF6549A5"/>
      <x:name val="Arial"/>
    </x:font>
    <x:font>
      <x:i/>
      <x:sz val="10"/>
      <x:color rgb="FF64748B"/>
      <x:name val="Arial"/>
    </x:font>
    <x:font>
      <x:b/>
      <x:sz val="10"/>
      <x:color rgb="FF6549A5"/>
      <x:name val="Arial"/>
    </x:font>
    <x:font>
      <x:b/>
      <x:sz val="16"/>
      <x:color rgb="FF7655B8"/>
      <x:name val="Arial"/>
    </x:font>
    <x:font>
      <x:b/>
      <x:sz val="16"/>
      <x:color rgb="FFBB625C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AF1F8"/>
      </x:patternFill>
    </x:fill>
    <x:fill>
      <x:patternFill patternType="solid">
        <x:fgColor rgb="FFFFF7E0"/>
      </x:patternFill>
    </x:fill>
    <x:fill>
      <x:patternFill patternType="solid">
        <x:fgColor rgb="FF6549A5"/>
      </x:patternFill>
    </x:fill>
    <x:fill>
      <x:patternFill patternType="solid">
        <x:fgColor rgb="FF7655B8"/>
      </x:patternFill>
    </x:fill>
    <x:fill>
      <x:patternFill patternType="solid">
        <x:fgColor rgb="FF36778A"/>
      </x:patternFill>
    </x:fill>
    <x:fill>
      <x:patternFill patternType="solid">
        <x:fgColor rgb="FFB7791F"/>
      </x:patternFill>
    </x:fill>
    <x:fill>
      <x:patternFill patternType="solid">
        <x:fgColor rgb="FFF7FAFC"/>
      </x:patternFill>
    </x:fill>
    <x:fill>
      <x:patternFill patternType="solid">
        <x:fgColor rgb="FFEAE4F5"/>
      </x:patternFill>
    </x:fill>
    <x:fill>
      <x:patternFill patternType="solid">
        <x:fgColor rgb="FFF1EDFA"/>
      </x:patternFill>
    </x:fill>
    <x:fill>
      <x:patternFill patternType="solid">
        <x:fgColor rgb="FFFAF8FD"/>
      </x:patternFill>
    </x:fill>
    <x:fill>
      <x:patternFill patternType="solid">
        <x:fgColor rgb="FFEAF2F8"/>
      </x:patternFill>
    </x:fill>
    <x:fill>
      <x:patternFill patternType="solid">
        <x:fgColor rgb="FFF3F7FB"/>
      </x:patternFill>
    </x:fill>
    <x:fill>
      <x:patternFill patternType="solid">
        <x:fgColor rgb="FFBB625C"/>
      </x:patternFill>
    </x:fill>
    <x:fill>
      <x:patternFill patternType="solid">
        <x:fgColor rgb="FFFBEFED"/>
      </x:patternFill>
    </x:fill>
    <x:fill>
      <x:patternFill patternType="solid">
        <x:fgColor rgb="FFFFF8F6"/>
      </x:patternFill>
    </x:fill>
  </x:fills>
  <x:borders count="4">
    <x:border/>
    <x:border>
      <x:right style="thin">
        <x:color rgb="FFD9E2F0"/>
      </x:right>
    </x:border>
    <x:border>
      <x:left style="thin">
        <x:color rgb="FFD9E2F0"/>
      </x:left>
      <x:right style="thin">
        <x:color rgb="FFD9E2F0"/>
      </x:right>
    </x:border>
    <x:border>
      <x:left style="thin">
        <x:color rgb="FFD9E2F0"/>
      </x:left>
    </x:border>
  </x:borders>
  <x:cellStyleXfs count="1">
    <x:xf numFmtId="0" fontId="0" fillId="0" borderId="0"/>
  </x:cellStyleXfs>
  <x:cellXfs count="8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201" fontId="8" fillId="3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center"/>
    </x:xf>
    <x:xf numFmtId="202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201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/>
    <x:xf numFmtId="0" fontId="3" fillId="7" borderId="0" xfId="0" applyNumberFormat="1" applyFont="1" applyFill="1" applyBorder="1"/>
    <x:xf numFmtId="0" fontId="3" fillId="8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200" fontId="8" fillId="10" borderId="0" xfId="0" applyNumberFormat="1" applyFont="1" applyFill="1" applyBorder="1" applyAlignment="1">
      <x:alignment vertical="center" wrapText="1"/>
    </x:xf>
    <x:xf numFmtId="201" fontId="8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200" fontId="13" fillId="10" borderId="0" xfId="0" applyNumberFormat="1" applyFont="1" applyFill="1" applyBorder="1" applyAlignment="1">
      <x:alignment vertical="center" wrapText="1"/>
    </x:xf>
    <x:xf numFmtId="201" fontId="13" fillId="1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vertical="center"/>
    </x:xf>
    <x:xf numFmtId="202" fontId="4" fillId="11" borderId="2" xfId="0" applyNumberFormat="1" applyFont="1" applyFill="1" applyBorder="1" applyAlignment="1">
      <x:alignment vertical="center"/>
    </x:xf>
    <x:xf numFmtId="0" fontId="4" fillId="11" borderId="2" xfId="0" applyNumberFormat="1" applyFont="1" applyFill="1" applyBorder="1" applyAlignment="1">
      <x:alignment vertical="center"/>
    </x:xf>
    <x:xf numFmtId="0" fontId="4" fillId="12" borderId="1" xfId="0" applyNumberFormat="1" applyFont="1" applyFill="1" applyBorder="1" applyAlignment="1">
      <x:alignment vertical="center"/>
    </x:xf>
    <x:xf numFmtId="202" fontId="4" fillId="12" borderId="2" xfId="0" applyNumberFormat="1" applyFont="1" applyFill="1" applyBorder="1" applyAlignment="1">
      <x:alignment vertical="center"/>
    </x:xf>
    <x:xf numFmtId="0" fontId="4" fillId="12" borderId="2" xfId="0" applyNumberFormat="1" applyFont="1" applyFill="1" applyBorder="1" applyAlignment="1">
      <x:alignment vertical="center"/>
    </x:xf>
    <x:xf numFmtId="200" fontId="4" fillId="13" borderId="2" xfId="0" applyNumberFormat="1" applyFont="1" applyFill="1" applyBorder="1" applyAlignment="1">
      <x:alignment vertical="center"/>
    </x:xf>
    <x:xf numFmtId="201" fontId="4" fillId="13" borderId="2" xfId="0" applyNumberFormat="1" applyFont="1" applyFill="1" applyBorder="1" applyAlignment="1">
      <x:alignment vertical="center"/>
    </x:xf>
    <x:xf numFmtId="0" fontId="4" fillId="13" borderId="3" xfId="0" applyNumberFormat="1" applyFont="1" applyFill="1" applyBorder="1" applyAlignment="1">
      <x:alignment vertical="center"/>
    </x:xf>
    <x:xf numFmtId="200" fontId="4" fillId="14" borderId="2" xfId="0" applyNumberFormat="1" applyFont="1" applyFill="1" applyBorder="1" applyAlignment="1">
      <x:alignment vertical="center"/>
    </x:xf>
    <x:xf numFmtId="201" fontId="4" fillId="14" borderId="2" xfId="0" applyNumberFormat="1" applyFont="1" applyFill="1" applyBorder="1" applyAlignment="1">
      <x:alignment vertical="center"/>
    </x:xf>
    <x:xf numFmtId="0" fontId="4" fillId="14" borderId="3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3" fillId="15" borderId="1" xfId="0" applyNumberFormat="1" applyFont="1" applyFill="1" applyBorder="1" applyAlignment="1">
      <x:alignment horizontal="center" vertical="center" wrapText="1"/>
    </x:xf>
    <x:xf numFmtId="0" fontId="3" fillId="15" borderId="2" xfId="0" applyNumberFormat="1" applyFont="1" applyFill="1" applyBorder="1" applyAlignment="1">
      <x:alignment horizontal="center" vertical="center" wrapText="1"/>
    </x:xf>
    <x:xf numFmtId="0" fontId="3" fillId="15" borderId="3" xfId="0" applyNumberFormat="1" applyFont="1" applyFill="1" applyBorder="1" applyAlignment="1">
      <x:alignment horizontal="center" vertical="center" wrapText="1"/>
    </x:xf>
    <x:xf numFmtId="0" fontId="4" fillId="16" borderId="1" xfId="0" applyNumberFormat="1" applyFont="1" applyFill="1" applyBorder="1" applyAlignment="1">
      <x:alignment vertical="center"/>
    </x:xf>
    <x:xf numFmtId="0" fontId="4" fillId="16" borderId="2" xfId="0" applyNumberFormat="1" applyFont="1" applyFill="1" applyBorder="1" applyAlignment="1">
      <x:alignment vertical="center"/>
    </x:xf>
    <x:xf numFmtId="0" fontId="4" fillId="16" borderId="3" xfId="0" applyNumberFormat="1" applyFont="1" applyFill="1" applyBorder="1" applyAlignment="1">
      <x:alignment vertical="center"/>
    </x:xf>
    <x:xf numFmtId="0" fontId="4" fillId="17" borderId="1" xfId="0" applyNumberFormat="1" applyFont="1" applyFill="1" applyBorder="1" applyAlignment="1">
      <x:alignment vertical="center"/>
    </x:xf>
    <x:xf numFmtId="0" fontId="4" fillId="17" borderId="2" xfId="0" applyNumberFormat="1" applyFont="1" applyFill="1" applyBorder="1" applyAlignment="1">
      <x:alignment vertical="center"/>
    </x:xf>
    <x:xf numFmtId="0" fontId="4" fillId="17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2E6B3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a03c8f4354353" /><Relationship Type="http://schemas.openxmlformats.org/officeDocument/2006/relationships/theme" Target="/xl/theme/theme1.xml" Id="R10bdd7ce71e94415" /><Relationship Type="http://schemas.openxmlformats.org/officeDocument/2006/relationships/sharedStrings" Target="/xl/sharedStrings.xml" Id="R51a88e848b2c4363" /><Relationship Type="http://schemas.openxmlformats.org/officeDocument/2006/relationships/worksheet" Target="/xl/worksheets/sheet1.xml" Id="R2173ad4e242942df" /><Relationship Type="http://schemas.openxmlformats.org/officeDocument/2006/relationships/worksheet" Target="/xl/worksheets/sheet2.xml" Id="R567d4e01e30041de" /><Relationship Type="http://schemas.openxmlformats.org/officeDocument/2006/relationships/worksheet" Target="/xl/worksheets/sheet3.xml" Id="Rc97bc3a09be24238" /></Relationships>
</file>

<file path=xl/tables/table1.xml><?xml version="1.0" encoding="utf-8"?>
<x:table xmlns:x="http://schemas.openxmlformats.org/spreadsheetml/2006/main" id="1" name="BatchLog" displayName="BatchLog" ref="A4:L16" headerRowCount="1" totalsRowCount="0" totalsRowShown="0">
  <x:tableColumns count="12">
    <x:tableColumn id="1" name="Batch ID"/>
    <x:tableColumn id="2" name="Work Date"/>
    <x:tableColumn id="3" name="Record Type"/>
    <x:tableColumn id="4" name="Records Entered"/>
    <x:tableColumn id="5" name="Sample Checked"/>
    <x:tableColumn id="6" name="Errors Found"/>
    <x:tableColumn id="7" name="Minutes"/>
    <x:tableColumn id="8" name="Errors Corrected"/>
    <x:tableColumn id="9" name="Reviewer"/>
    <x:tableColumn id="10" name="Sample Accuracy"/>
    <x:tableColumn id="11" name="Records per Hour"/>
    <x:tableColumn id="12" name="Batch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rorLog" displayName="ErrorLog" ref="A4:H15" headerRowCount="1" totalsRowCount="0" totalsRowShown="0">
  <x:tableColumns count="8">
    <x:tableColumn id="1" name="Exception ID"/>
    <x:tableColumn id="2" name="Batch ID"/>
    <x:tableColumn id="3" name="Field"/>
    <x:tableColumn id="4" name="Error Type"/>
    <x:tableColumn id="5" name="Source Value"/>
    <x:tableColumn id="6" name="Entered Value"/>
    <x:tableColumn id="7" name="Correction Note"/>
    <x:tableColumn id="8" name="Dis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b066c9774d45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c28bb52e864cef" /></Relationships>
</file>

<file path=xl/worksheets/sheet1.xml><?xml version="1.0" encoding="utf-8"?>
<x:worksheet xmlns:x="http://schemas.openxmlformats.org/spreadsheetml/2006/main">
  <x:sheetPr>
    <x:tabColor rgb="FF6549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78" hidden="0" customWidth="1"/>
    <x:col min="3" max="3" width="54" hidden="0" customWidth="1"/>
  </x:cols>
  <x:sheetData>
    <x:row r="1" ht="30" customHeight="1">
      <x:c r="A1" s="46" t="str">
        <x:v>Data entry quality and productivity tracker</x:v>
      </x:c>
      <x:c r="B1" s="46"/>
      <x:c r="C1" s="46"/>
    </x:row>
    <x:row r="2" ht="26" customHeight="1">
      <x:c r="A2" s="47" t="str">
        <x:v>Operations practice project | Batch throughput, sample accuracy, correction tracking, and audit trail</x:v>
      </x:c>
      <x:c r="B2" s="47"/>
      <x:c r="C2" s="47"/>
    </x:row>
    <x:row r="3">
      <x:c r="A3" s="7"/>
      <x:c r="B3" s="7"/>
    </x:row>
    <x:row r="4" ht="28" customHeight="1">
      <x:c r="A4" s="48" t="str">
        <x:v>Portfolio metric</x:v>
      </x:c>
      <x:c r="B4" s="48" t="str">
        <x:v>Result</x:v>
      </x:c>
      <x:c r="C4" s="48" t="str">
        <x:v>What it demonstrates</x:v>
      </x:c>
    </x:row>
    <x:row r="5" ht="27" customHeight="1">
      <x:c r="A5" s="52" t="str">
        <x:v>Records entered</x:v>
      </x:c>
      <x:c r="B5" s="56" t="n">
        <x:f>SUM('Batch Log'!$D$5:$D$16)</x:f>
        <x:v>3282</x:v>
      </x:c>
      <x:c r="C5" s="52" t="str">
        <x:v>Totals work completed across the sample period.</x:v>
      </x:c>
    </x:row>
    <x:row r="6" ht="27" customHeight="1">
      <x:c r="A6" s="52" t="str">
        <x:v>Weighted sample accuracy</x:v>
      </x:c>
      <x:c r="B6" s="57" t="n">
        <x:f>1-SUM('Batch Log'!$F$5:$F$16)/SUM('Batch Log'!$E$5:$E$16)</x:f>
        <x:v>0.9770833333333333</x:v>
      </x:c>
      <x:c r="C6" s="52" t="str">
        <x:v>Weights accuracy by the number of records checked.</x:v>
      </x:c>
    </x:row>
    <x:row r="7" ht="27" customHeight="1">
      <x:c r="A7" s="52" t="str">
        <x:v>Records per hour</x:v>
      </x:c>
      <x:c r="B7" s="58" t="n">
        <x:f>SUM('Batch Log'!$D$5:$D$16)/SUM('Batch Log'!$G$5:$G$16)*60</x:f>
        <x:v>254.4186046511628</x:v>
      </x:c>
      <x:c r="C7" s="52" t="str">
        <x:v>Shows throughput using total records and total minutes.</x:v>
      </x:c>
    </x:row>
    <x:row r="8" ht="27" customHeight="1">
      <x:c r="A8" s="52" t="str">
        <x:v>Batches needing follow-up</x:v>
      </x:c>
      <x:c r="B8" s="56" t="n">
        <x:f>COUNTIF('Batch Log'!$L$5:$L$16,"Open corrections")+COUNTIF('Batch Log'!$L$5:$L$16,"Below target")</x:f>
        <x:v>7</x:v>
      </x:c>
      <x:c r="C8" s="52" t="str">
        <x:v>Counts batches needing correction or review.</x:v>
      </x:c>
    </x:row>
    <x:row r="9">
      <x:c r="A9" s="7"/>
      <x:c r="B9" s="7"/>
    </x:row>
    <x:row r="10">
      <x:c r="A10" s="49" t="str">
        <x:v>Workflow</x:v>
      </x:c>
      <x:c r="B10" s="49" t="str">
        <x:v>What to do</x:v>
      </x:c>
    </x:row>
    <x:row r="11" ht="34" customHeight="1">
      <x:c r="A11" s="14" t="str">
        <x:v>1. Log</x:v>
      </x:c>
      <x:c r="B11" s="14" t="str">
        <x:v>Record batch type, volume, sample size, errors found, time, corrections, and reviewer.</x:v>
      </x:c>
    </x:row>
    <x:row r="12" ht="34" customHeight="1">
      <x:c r="A12" s="14" t="str">
        <x:v>2. Review</x:v>
      </x:c>
      <x:c r="B12" s="14" t="str">
        <x:v>Use the 98% sample-accuracy target to identify batches for follow-up.</x:v>
      </x:c>
    </x:row>
    <x:row r="13" ht="34" customHeight="1">
      <x:c r="A13" s="14" t="str">
        <x:v>3. Correct</x:v>
      </x:c>
      <x:c r="B13" s="14" t="str">
        <x:v>Record each exception in Error Log and keep its disposition current.</x:v>
      </x:c>
    </x:row>
    <x:row r="14" ht="34" customHeight="1">
      <x:c r="A14" s="14" t="str">
        <x:v>4. Report</x:v>
      </x:c>
      <x:c r="B14" s="14" t="str">
        <x:v>Use the weighted sample accuracy and records-per-hour figures in a weekly update.</x:v>
      </x:c>
    </x:row>
    <x:row r="15" ht="34" customHeight="1">
      <x:c r="A15" s="14" t="str">
        <x:v>5. Explain</x:v>
      </x:c>
      <x:c r="B15" s="14" t="str">
        <x:v>Describe why sample accuracy is weighted and how unresolved items are escalated.</x:v>
      </x:c>
    </x:row>
    <x:row r="16">
      <x:c r="A16" s="50" t="str">
        <x:v>Workbook sheet</x:v>
      </x:c>
      <x:c r="B16" s="50" t="str">
        <x:v>Purpose</x:v>
      </x:c>
    </x:row>
    <x:row r="17" ht="29" customHeight="1">
      <x:c r="A17" s="14" t="str">
        <x:v>Batch Log</x:v>
      </x:c>
      <x:c r="B17" s="14" t="str">
        <x:v>Volume, audit sample, error count, time, accuracy, throughput, and batch status.</x:v>
      </x:c>
    </x:row>
    <x:row r="18" ht="29" customHeight="1">
      <x:c r="A18" s="14" t="str">
        <x:v>Error Log</x:v>
      </x:c>
      <x:c r="B18" s="14" t="str">
        <x:v>Field-level exception details and correction disposition.</x:v>
      </x:c>
    </x:row>
    <x:row r="19" ht="29" customHeight="1">
      <x:c r="A19" s="7"/>
      <x:c r="B19" s="7"/>
    </x:row>
    <x:row r="20" ht="29" customHeight="1">
      <x:c r="A20" s="7"/>
      <x:c r="B20" s="7"/>
    </x:row>
    <x:row r="21" ht="29" customHeight="1">
      <x:c r="A21" s="7"/>
      <x:c r="B21" s="7"/>
    </x:row>
    <x:row r="22" ht="29" customHeight="1">
      <x:c r="A22" s="7"/>
      <x:c r="B22" s="7"/>
    </x:row>
    <x:row r="23">
      <x:c r="A23" s="51" t="str">
        <x:v>Skill</x:v>
      </x:c>
      <x:c r="B23" s="51" t="str">
        <x:v>Portfolio evidence</x:v>
      </x:c>
    </x:row>
    <x:row r="24">
      <x:c r="A24" s="14" t="str">
        <x:v>Accuracy measurement</x:v>
      </x:c>
      <x:c r="B24" s="14" t="str">
        <x:v>Calculates weighted sample accuracy from records checked and errors found.</x:v>
      </x:c>
    </x:row>
    <x:row r="25">
      <x:c r="A25" s="14" t="str">
        <x:v>Productivity reporting</x:v>
      </x:c>
      <x:c r="B25" s="14" t="str">
        <x:v>Calculates batch throughput and overall records per hour.</x:v>
      </x:c>
    </x:row>
    <x:row r="26">
      <x:c r="A26" s="14" t="str">
        <x:v>Exception tracking</x:v>
      </x:c>
      <x:c r="B26" s="14" t="str">
        <x:v>Links error details to batches and records open or corrected disposition.</x:v>
      </x:c>
    </x:row>
    <x:row r="27">
      <x:c r="A27" s="14" t="str">
        <x:v>Process communication</x:v>
      </x:c>
      <x:c r="B27" s="14" t="str">
        <x:v>Summarizes status and provides a repeatable audit trail.</x:v>
      </x:c>
    </x:row>
    <x:row r="28">
      <x:c r="A28" s="7"/>
      <x:c r="B28" s="7"/>
    </x:row>
    <x:row r="29">
      <x:c r="A29" s="7"/>
      <x:c r="B29" s="7"/>
    </x:row>
    <x:row r="30">
      <x:c r="A30" s="19" t="str">
        <x:v>Portfolio demo</x:v>
      </x:c>
      <x:c r="B30" s="14" t="str">
        <x:v>Explain the difference between records entered and records sampled. Show a batch below target, its error-log details, and the follow-up action.</x:v>
      </x:c>
    </x:row>
    <x:row r="31">
      <x:c r="A31" s="7"/>
      <x:c r="B31" s="7"/>
    </x:row>
    <x:row r="32">
      <x:c r="A32" s="19" t="str">
        <x:v>Data note</x:v>
      </x:c>
      <x:c r="B32" s="26" t="str">
        <x:v>All records are fictional and created for portfolio practice. No real customer, employee, or company data is included.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655B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2" hidden="0" customWidth="1"/>
    <x:col min="4" max="4" width="17" hidden="0" customWidth="1"/>
    <x:col min="5" max="5" width="16" hidden="0" customWidth="1"/>
    <x:col min="6" max="6" width="15" hidden="0" customWidth="1"/>
    <x:col min="7" max="7" width="13" hidden="0" customWidth="1"/>
    <x:col min="8" max="8" width="18" hidden="0" customWidth="1"/>
    <x:col min="9" max="9" width="16" hidden="0" customWidth="1"/>
    <x:col min="10" max="10" width="18" hidden="0" customWidth="1"/>
    <x:col min="11" max="11" width="19" hidden="0" customWidth="1"/>
    <x:col min="12" max="12" width="23" hidden="0" customWidth="1"/>
  </x:cols>
  <x:sheetData>
    <x:row r="1" ht="27" customHeight="1">
      <x:c r="A1" s="59" t="str">
        <x:v>Batch productivity and quality log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 ht="24" customHeight="1">
      <x:c r="A2" s="17" t="str">
        <x:v>Amber cells are recorded results. Blue cells calculate sample accuracy, throughput, and follow-up status.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4" ht="30" customHeight="1">
      <x:c r="A4" s="60" t="str">
        <x:v>Batch ID</x:v>
      </x:c>
      <x:c r="B4" s="61" t="str">
        <x:v>Work Date</x:v>
      </x:c>
      <x:c r="C4" s="61" t="str">
        <x:v>Record Type</x:v>
      </x:c>
      <x:c r="D4" s="61" t="str">
        <x:v>Records Entered</x:v>
      </x:c>
      <x:c r="E4" s="61" t="str">
        <x:v>Sample Checked</x:v>
      </x:c>
      <x:c r="F4" s="61" t="str">
        <x:v>Errors Found</x:v>
      </x:c>
      <x:c r="G4" s="61" t="str">
        <x:v>Minutes</x:v>
      </x:c>
      <x:c r="H4" s="61" t="str">
        <x:v>Errors Corrected</x:v>
      </x:c>
      <x:c r="I4" s="61" t="str">
        <x:v>Reviewer</x:v>
      </x:c>
      <x:c r="J4" s="61" t="str">
        <x:v>Sample Accuracy</x:v>
      </x:c>
      <x:c r="K4" s="61" t="str">
        <x:v>Records per Hour</x:v>
      </x:c>
      <x:c r="L4" s="62" t="str">
        <x:v>Batch Status</x:v>
      </x:c>
    </x:row>
    <x:row r="5" ht="21" customHeight="1">
      <x:c r="A5" s="63" t="str">
        <x:v>B-2609-101</x:v>
      </x:c>
      <x:c r="B5" s="64" t="n">
        <x:v>46273</x:v>
      </x:c>
      <x:c r="C5" s="65" t="str">
        <x:v>Customer updates</x:v>
      </x:c>
      <x:c r="D5" s="65" t="n">
        <x:v>180</x:v>
      </x:c>
      <x:c r="E5" s="65" t="n">
        <x:v>40</x:v>
      </x:c>
      <x:c r="F5" s="65" t="n">
        <x:v>0</x:v>
      </x:c>
      <x:c r="G5" s="65" t="n">
        <x:v>48</x:v>
      </x:c>
      <x:c r="H5" s="65" t="n">
        <x:v>0</x:v>
      </x:c>
      <x:c r="I5" s="65" t="str">
        <x:v>A. Patel</x:v>
      </x:c>
      <x:c r="J5" s="69" t="n">
        <x:f>IF(E5=0,"",1-F5/E5)</x:f>
        <x:v>1</x:v>
      </x:c>
      <x:c r="K5" s="70" t="n">
        <x:f>IF(G5=0,"",D5/G5*60)</x:f>
        <x:v>225</x:v>
      </x:c>
      <x:c r="L5" s="71" t="str">
        <x:f>IF(E5=0,"Needs sample",IF(F5&gt;E5,"Invalid sample",IF(G5=0,"Check time",IF(H5&lt;F5,"Open corrections",IF(J5&lt;0.98,"Below target","Complete")))))</x:f>
        <x:v>Complete</x:v>
      </x:c>
    </x:row>
    <x:row r="6" ht="21" customHeight="1">
      <x:c r="A6" s="66" t="str">
        <x:v>B-2609-102</x:v>
      </x:c>
      <x:c r="B6" s="67" t="n">
        <x:v>46275</x:v>
      </x:c>
      <x:c r="C6" s="68" t="str">
        <x:v>Invoice entry</x:v>
      </x:c>
      <x:c r="D6" s="68" t="n">
        <x:v>197</x:v>
      </x:c>
      <x:c r="E6" s="68" t="n">
        <x:v>40</x:v>
      </x:c>
      <x:c r="F6" s="68" t="n">
        <x:v>1</x:v>
      </x:c>
      <x:c r="G6" s="68" t="n">
        <x:v>51</x:v>
      </x:c>
      <x:c r="H6" s="68" t="n">
        <x:v>1</x:v>
      </x:c>
      <x:c r="I6" s="68" t="str">
        <x:v>L. Brooks</x:v>
      </x:c>
      <x:c r="J6" s="72" t="n">
        <x:f>IF(E6=0,"",1-F6/E6)</x:f>
        <x:v>0.975</x:v>
      </x:c>
      <x:c r="K6" s="73" t="n">
        <x:f>IF(G6=0,"",D6/G6*60)</x:f>
        <x:v>231.76470588235296</x:v>
      </x:c>
      <x:c r="L6" s="74" t="str">
        <x:f>IF(E6=0,"Needs sample",IF(F6&gt;E6,"Invalid sample",IF(G6=0,"Check time",IF(H6&lt;F6,"Open corrections",IF(J6&lt;0.98,"Below target","Complete")))))</x:f>
        <x:v>Below target</x:v>
      </x:c>
    </x:row>
    <x:row r="7" ht="21" customHeight="1">
      <x:c r="A7" s="63" t="str">
        <x:v>B-2609-103</x:v>
      </x:c>
      <x:c r="B7" s="64" t="n">
        <x:v>46277</x:v>
      </x:c>
      <x:c r="C7" s="65" t="str">
        <x:v>Order updates</x:v>
      </x:c>
      <x:c r="D7" s="65" t="n">
        <x:v>214</x:v>
      </x:c>
      <x:c r="E7" s="65" t="n">
        <x:v>40</x:v>
      </x:c>
      <x:c r="F7" s="65" t="n">
        <x:v>0</x:v>
      </x:c>
      <x:c r="G7" s="65" t="n">
        <x:v>54</x:v>
      </x:c>
      <x:c r="H7" s="65" t="n">
        <x:v>0</x:v>
      </x:c>
      <x:c r="I7" s="65" t="str">
        <x:v>R. Shah</x:v>
      </x:c>
      <x:c r="J7" s="69" t="n">
        <x:f>IF(E7=0,"",1-F7/E7)</x:f>
        <x:v>1</x:v>
      </x:c>
      <x:c r="K7" s="70" t="n">
        <x:f>IF(G7=0,"",D7/G7*60)</x:f>
        <x:v>237.77777777777777</x:v>
      </x:c>
      <x:c r="L7" s="71" t="str">
        <x:f>IF(E7=0,"Needs sample",IF(F7&gt;E7,"Invalid sample",IF(G7=0,"Check time",IF(H7&lt;F7,"Open corrections",IF(J7&lt;0.98,"Below target","Complete")))))</x:f>
        <x:v>Complete</x:v>
      </x:c>
    </x:row>
    <x:row r="8" ht="21" customHeight="1">
      <x:c r="A8" s="66" t="str">
        <x:v>B-2609-104</x:v>
      </x:c>
      <x:c r="B8" s="67" t="n">
        <x:v>46279</x:v>
      </x:c>
      <x:c r="C8" s="68" t="str">
        <x:v>Inventory records</x:v>
      </x:c>
      <x:c r="D8" s="68" t="n">
        <x:v>231</x:v>
      </x:c>
      <x:c r="E8" s="68" t="n">
        <x:v>40</x:v>
      </x:c>
      <x:c r="F8" s="68" t="n">
        <x:v>2</x:v>
      </x:c>
      <x:c r="G8" s="68" t="n">
        <x:v>57</x:v>
      </x:c>
      <x:c r="H8" s="68" t="n">
        <x:v>2</x:v>
      </x:c>
      <x:c r="I8" s="68" t="str">
        <x:v>M. Rivera</x:v>
      </x:c>
      <x:c r="J8" s="72" t="n">
        <x:f>IF(E8=0,"",1-F8/E8)</x:f>
        <x:v>0.95</x:v>
      </x:c>
      <x:c r="K8" s="73" t="n">
        <x:f>IF(G8=0,"",D8/G8*60)</x:f>
        <x:v>243.15789473684208</x:v>
      </x:c>
      <x:c r="L8" s="74" t="str">
        <x:f>IF(E8=0,"Needs sample",IF(F8&gt;E8,"Invalid sample",IF(G8=0,"Check time",IF(H8&lt;F8,"Open corrections",IF(J8&lt;0.98,"Below target","Complete")))))</x:f>
        <x:v>Below target</x:v>
      </x:c>
    </x:row>
    <x:row r="9" ht="21" customHeight="1">
      <x:c r="A9" s="63" t="str">
        <x:v>B-2609-105</x:v>
      </x:c>
      <x:c r="B9" s="64" t="n">
        <x:v>46281</x:v>
      </x:c>
      <x:c r="C9" s="65" t="str">
        <x:v>Customer updates</x:v>
      </x:c>
      <x:c r="D9" s="65" t="n">
        <x:v>248</x:v>
      </x:c>
      <x:c r="E9" s="65" t="n">
        <x:v>40</x:v>
      </x:c>
      <x:c r="F9" s="65" t="n">
        <x:v>1</x:v>
      </x:c>
      <x:c r="G9" s="65" t="n">
        <x:v>60</x:v>
      </x:c>
      <x:c r="H9" s="65" t="n">
        <x:v>1</x:v>
      </x:c>
      <x:c r="I9" s="65" t="str">
        <x:v>A. Patel</x:v>
      </x:c>
      <x:c r="J9" s="69" t="n">
        <x:f>IF(E9=0,"",1-F9/E9)</x:f>
        <x:v>0.975</x:v>
      </x:c>
      <x:c r="K9" s="70" t="n">
        <x:f>IF(G9=0,"",D9/G9*60)</x:f>
        <x:v>248.00000000000003</x:v>
      </x:c>
      <x:c r="L9" s="71" t="str">
        <x:f>IF(E9=0,"Needs sample",IF(F9&gt;E9,"Invalid sample",IF(G9=0,"Check time",IF(H9&lt;F9,"Open corrections",IF(J9&lt;0.98,"Below target","Complete")))))</x:f>
        <x:v>Below target</x:v>
      </x:c>
    </x:row>
    <x:row r="10" ht="21" customHeight="1">
      <x:c r="A10" s="66" t="str">
        <x:v>B-2609-106</x:v>
      </x:c>
      <x:c r="B10" s="67" t="n">
        <x:v>46283</x:v>
      </x:c>
      <x:c r="C10" s="68" t="str">
        <x:v>Invoice entry</x:v>
      </x:c>
      <x:c r="D10" s="68" t="n">
        <x:v>265</x:v>
      </x:c>
      <x:c r="E10" s="68" t="n">
        <x:v>40</x:v>
      </x:c>
      <x:c r="F10" s="68" t="n">
        <x:v>0</x:v>
      </x:c>
      <x:c r="G10" s="68" t="n">
        <x:v>63</x:v>
      </x:c>
      <x:c r="H10" s="68" t="n">
        <x:v>0</x:v>
      </x:c>
      <x:c r="I10" s="68" t="str">
        <x:v>L. Brooks</x:v>
      </x:c>
      <x:c r="J10" s="72" t="n">
        <x:f>IF(E10=0,"",1-F10/E10)</x:f>
        <x:v>1</x:v>
      </x:c>
      <x:c r="K10" s="73" t="n">
        <x:f>IF(G10=0,"",D10/G10*60)</x:f>
        <x:v>252.38095238095238</x:v>
      </x:c>
      <x:c r="L10" s="74" t="str">
        <x:f>IF(E10=0,"Needs sample",IF(F10&gt;E10,"Invalid sample",IF(G10=0,"Check time",IF(H10&lt;F10,"Open corrections",IF(J10&lt;0.98,"Below target","Complete")))))</x:f>
        <x:v>Complete</x:v>
      </x:c>
    </x:row>
    <x:row r="11" ht="21" customHeight="1">
      <x:c r="A11" s="63" t="str">
        <x:v>B-2609-107</x:v>
      </x:c>
      <x:c r="B11" s="64" t="n">
        <x:v>46285</x:v>
      </x:c>
      <x:c r="C11" s="65" t="str">
        <x:v>Order updates</x:v>
      </x:c>
      <x:c r="D11" s="65" t="n">
        <x:v>282</x:v>
      </x:c>
      <x:c r="E11" s="65" t="n">
        <x:v>40</x:v>
      </x:c>
      <x:c r="F11" s="65" t="n">
        <x:v>3</x:v>
      </x:c>
      <x:c r="G11" s="65" t="n">
        <x:v>66</x:v>
      </x:c>
      <x:c r="H11" s="65" t="n">
        <x:v>1</x:v>
      </x:c>
      <x:c r="I11" s="65" t="str">
        <x:v>R. Shah</x:v>
      </x:c>
      <x:c r="J11" s="69" t="n">
        <x:f>IF(E11=0,"",1-F11/E11)</x:f>
        <x:v>0.925</x:v>
      </x:c>
      <x:c r="K11" s="70" t="n">
        <x:f>IF(G11=0,"",D11/G11*60)</x:f>
        <x:v>256.3636363636364</x:v>
      </x:c>
      <x:c r="L11" s="71" t="str">
        <x:f>IF(E11=0,"Needs sample",IF(F11&gt;E11,"Invalid sample",IF(G11=0,"Check time",IF(H11&lt;F11,"Open corrections",IF(J11&lt;0.98,"Below target","Complete")))))</x:f>
        <x:v>Open corrections</x:v>
      </x:c>
    </x:row>
    <x:row r="12" ht="21" customHeight="1">
      <x:c r="A12" s="66" t="str">
        <x:v>B-2609-108</x:v>
      </x:c>
      <x:c r="B12" s="67" t="n">
        <x:v>46287</x:v>
      </x:c>
      <x:c r="C12" s="68" t="str">
        <x:v>Inventory records</x:v>
      </x:c>
      <x:c r="D12" s="68" t="n">
        <x:v>299</x:v>
      </x:c>
      <x:c r="E12" s="68" t="n">
        <x:v>40</x:v>
      </x:c>
      <x:c r="F12" s="68" t="n">
        <x:v>1</x:v>
      </x:c>
      <x:c r="G12" s="68" t="n">
        <x:v>69</x:v>
      </x:c>
      <x:c r="H12" s="68" t="n">
        <x:v>1</x:v>
      </x:c>
      <x:c r="I12" s="68" t="str">
        <x:v>M. Rivera</x:v>
      </x:c>
      <x:c r="J12" s="72" t="n">
        <x:f>IF(E12=0,"",1-F12/E12)</x:f>
        <x:v>0.975</x:v>
      </x:c>
      <x:c r="K12" s="73" t="n">
        <x:f>IF(G12=0,"",D12/G12*60)</x:f>
        <x:v>260</x:v>
      </x:c>
      <x:c r="L12" s="74" t="str">
        <x:f>IF(E12=0,"Needs sample",IF(F12&gt;E12,"Invalid sample",IF(G12=0,"Check time",IF(H12&lt;F12,"Open corrections",IF(J12&lt;0.98,"Below target","Complete")))))</x:f>
        <x:v>Below target</x:v>
      </x:c>
    </x:row>
    <x:row r="13" ht="21" customHeight="1">
      <x:c r="A13" s="63" t="str">
        <x:v>B-2609-109</x:v>
      </x:c>
      <x:c r="B13" s="64" t="n">
        <x:v>46289</x:v>
      </x:c>
      <x:c r="C13" s="65" t="str">
        <x:v>Customer updates</x:v>
      </x:c>
      <x:c r="D13" s="65" t="n">
        <x:v>316</x:v>
      </x:c>
      <x:c r="E13" s="65" t="n">
        <x:v>40</x:v>
      </x:c>
      <x:c r="F13" s="65" t="n">
        <x:v>0</x:v>
      </x:c>
      <x:c r="G13" s="65" t="n">
        <x:v>72</x:v>
      </x:c>
      <x:c r="H13" s="65" t="n">
        <x:v>0</x:v>
      </x:c>
      <x:c r="I13" s="65" t="str">
        <x:v>A. Patel</x:v>
      </x:c>
      <x:c r="J13" s="69" t="n">
        <x:f>IF(E13=0,"",1-F13/E13)</x:f>
        <x:v>1</x:v>
      </x:c>
      <x:c r="K13" s="70" t="n">
        <x:f>IF(G13=0,"",D13/G13*60)</x:f>
        <x:v>263.33333333333337</x:v>
      </x:c>
      <x:c r="L13" s="71" t="str">
        <x:f>IF(E13=0,"Needs sample",IF(F13&gt;E13,"Invalid sample",IF(G13=0,"Check time",IF(H13&lt;F13,"Open corrections",IF(J13&lt;0.98,"Below target","Complete")))))</x:f>
        <x:v>Complete</x:v>
      </x:c>
    </x:row>
    <x:row r="14" ht="21" customHeight="1">
      <x:c r="A14" s="66" t="str">
        <x:v>B-2609-110</x:v>
      </x:c>
      <x:c r="B14" s="67" t="n">
        <x:v>46291</x:v>
      </x:c>
      <x:c r="C14" s="68" t="str">
        <x:v>Invoice entry</x:v>
      </x:c>
      <x:c r="D14" s="68" t="n">
        <x:v>333</x:v>
      </x:c>
      <x:c r="E14" s="68" t="n">
        <x:v>40</x:v>
      </x:c>
      <x:c r="F14" s="68" t="n">
        <x:v>2</x:v>
      </x:c>
      <x:c r="G14" s="68" t="n">
        <x:v>75</x:v>
      </x:c>
      <x:c r="H14" s="68" t="n">
        <x:v>2</x:v>
      </x:c>
      <x:c r="I14" s="68" t="str">
        <x:v>L. Brooks</x:v>
      </x:c>
      <x:c r="J14" s="72" t="n">
        <x:f>IF(E14=0,"",1-F14/E14)</x:f>
        <x:v>0.95</x:v>
      </x:c>
      <x:c r="K14" s="73" t="n">
        <x:f>IF(G14=0,"",D14/G14*60)</x:f>
        <x:v>266.40000000000003</x:v>
      </x:c>
      <x:c r="L14" s="74" t="str">
        <x:f>IF(E14=0,"Needs sample",IF(F14&gt;E14,"Invalid sample",IF(G14=0,"Check time",IF(H14&lt;F14,"Open corrections",IF(J14&lt;0.98,"Below target","Complete")))))</x:f>
        <x:v>Below target</x:v>
      </x:c>
    </x:row>
    <x:row r="15" ht="21" customHeight="1">
      <x:c r="A15" s="63" t="str">
        <x:v>B-2609-111</x:v>
      </x:c>
      <x:c r="B15" s="64" t="n">
        <x:v>46293</x:v>
      </x:c>
      <x:c r="C15" s="65" t="str">
        <x:v>Order updates</x:v>
      </x:c>
      <x:c r="D15" s="65" t="n">
        <x:v>350</x:v>
      </x:c>
      <x:c r="E15" s="65" t="n">
        <x:v>40</x:v>
      </x:c>
      <x:c r="F15" s="65" t="n">
        <x:v>1</x:v>
      </x:c>
      <x:c r="G15" s="65" t="n">
        <x:v>78</x:v>
      </x:c>
      <x:c r="H15" s="65" t="n">
        <x:v>1</x:v>
      </x:c>
      <x:c r="I15" s="65" t="str">
        <x:v>R. Shah</x:v>
      </x:c>
      <x:c r="J15" s="69" t="n">
        <x:f>IF(E15=0,"",1-F15/E15)</x:f>
        <x:v>0.975</x:v>
      </x:c>
      <x:c r="K15" s="70" t="n">
        <x:f>IF(G15=0,"",D15/G15*60)</x:f>
        <x:v>269.2307692307692</x:v>
      </x:c>
      <x:c r="L15" s="71" t="str">
        <x:f>IF(E15=0,"Needs sample",IF(F15&gt;E15,"Invalid sample",IF(G15=0,"Check time",IF(H15&lt;F15,"Open corrections",IF(J15&lt;0.98,"Below target","Complete")))))</x:f>
        <x:v>Below target</x:v>
      </x:c>
    </x:row>
    <x:row r="16" ht="21" customHeight="1">
      <x:c r="A16" s="66" t="str">
        <x:v>B-2609-112</x:v>
      </x:c>
      <x:c r="B16" s="67" t="n">
        <x:v>46295</x:v>
      </x:c>
      <x:c r="C16" s="68" t="str">
        <x:v>Inventory records</x:v>
      </x:c>
      <x:c r="D16" s="68" t="n">
        <x:v>367</x:v>
      </x:c>
      <x:c r="E16" s="68" t="n">
        <x:v>40</x:v>
      </x:c>
      <x:c r="F16" s="68" t="n">
        <x:v>0</x:v>
      </x:c>
      <x:c r="G16" s="68" t="n">
        <x:v>81</x:v>
      </x:c>
      <x:c r="H16" s="68" t="n">
        <x:v>0</x:v>
      </x:c>
      <x:c r="I16" s="68" t="str">
        <x:v>M. Rivera</x:v>
      </x:c>
      <x:c r="J16" s="72" t="n">
        <x:f>IF(E16=0,"",1-F16/E16)</x:f>
        <x:v>1</x:v>
      </x:c>
      <x:c r="K16" s="73" t="n">
        <x:f>IF(G16=0,"",D16/G16*60)</x:f>
        <x:v>271.85185185185185</x:v>
      </x:c>
      <x:c r="L16" s="74" t="str">
        <x:f>IF(E16=0,"Needs sample",IF(F16&gt;E16,"Invalid sample",IF(G16=0,"Check time",IF(H16&lt;F16,"Open corrections",IF(J16&lt;0.98,"Below target","Complete")))))</x:f>
        <x:v>Complete</x:v>
      </x:c>
    </x:row>
  </x:sheetData>
  <x:conditionalFormatting sqref="L5:L16">
    <x:cfRule type="containsText" dxfId="0" priority="1" operator="containsText" text="Complete"/>
    <x:cfRule type="containsText" dxfId="1" priority="2" operator="containsText" text="Open"/>
    <x:cfRule type="containsText" dxfId="2" priority="3" operator="containsText" text="Below target"/>
  </x:conditionalFormatting>
  <x:dataValidations count="2">
    <x:dataValidation type="list" sqref="C5:C16">
      <x:formula1>"Customer updates,Invoice entry,Order updates,Inventory records"</x:formula1>
    </x:dataValidation>
    <x:dataValidation type="list" sqref="I5:I16">
      <x:formula1>"A. Patel,L. Brooks,R. Shah,M. Rivera"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b066c9774d45ba"/>
  </x:tableParts>
</x:worksheet>
</file>

<file path=xl/worksheets/sheet3.xml><?xml version="1.0" encoding="utf-8"?>
<x:worksheet xmlns:x="http://schemas.openxmlformats.org/spreadsheetml/2006/main">
  <x:sheetPr>
    <x:tabColor rgb="FFBB625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2" hidden="0" customWidth="1"/>
    <x:col min="5" max="5" width="24" hidden="0" customWidth="1"/>
    <x:col min="6" max="6" width="24" hidden="0" customWidth="1"/>
    <x:col min="7" max="7" width="38" hidden="0" customWidth="1"/>
    <x:col min="8" max="8" width="18" hidden="0" customWidth="1"/>
  </x:cols>
  <x:sheetData>
    <x:row r="1" ht="27" customHeight="1">
      <x:c r="A1" s="75" t="str">
        <x:v>Field-level exception log</x:v>
      </x:c>
      <x:c r="B1" s="75"/>
      <x:c r="C1" s="75"/>
      <x:c r="D1" s="75"/>
      <x:c r="E1" s="75"/>
      <x:c r="F1" s="75"/>
      <x:c r="G1" s="75"/>
      <x:c r="H1" s="75"/>
    </x:row>
    <x:row r="2" ht="24" customHeight="1">
      <x:c r="A2" s="17" t="str">
        <x:v>Use one row per exception. Keep the source value, entered value, correction note, and disposition auditable.</x:v>
      </x:c>
      <x:c r="B2" s="17"/>
      <x:c r="C2" s="17"/>
      <x:c r="D2" s="17"/>
      <x:c r="E2" s="17"/>
      <x:c r="F2" s="17"/>
      <x:c r="G2" s="17"/>
      <x:c r="H2" s="17"/>
    </x:row>
    <x:row r="4" ht="30" customHeight="1">
      <x:c r="A4" s="76" t="str">
        <x:v>Exception ID</x:v>
      </x:c>
      <x:c r="B4" s="77" t="str">
        <x:v>Batch ID</x:v>
      </x:c>
      <x:c r="C4" s="77" t="str">
        <x:v>Field</x:v>
      </x:c>
      <x:c r="D4" s="77" t="str">
        <x:v>Error Type</x:v>
      </x:c>
      <x:c r="E4" s="77" t="str">
        <x:v>Source Value</x:v>
      </x:c>
      <x:c r="F4" s="77" t="str">
        <x:v>Entered Value</x:v>
      </x:c>
      <x:c r="G4" s="77" t="str">
        <x:v>Correction Note</x:v>
      </x:c>
      <x:c r="H4" s="78" t="str">
        <x:v>Disposition</x:v>
      </x:c>
    </x:row>
    <x:row r="5" ht="21" customHeight="1">
      <x:c r="A5" s="79" t="str">
        <x:v>E-501</x:v>
      </x:c>
      <x:c r="B5" s="80" t="str">
        <x:v>B-2609-102</x:v>
      </x:c>
      <x:c r="C5" s="80" t="str">
        <x:v>Email</x:v>
      </x:c>
      <x:c r="D5" s="80" t="str">
        <x:v>Missing field</x:v>
      </x:c>
      <x:c r="E5" s="80" t="str">
        <x:v>lee.park@example.test</x:v>
      </x:c>
      <x:c r="F5" s="80" t="str"/>
      <x:c r="G5" s="80" t="str">
        <x:v>Email copied from the source record.</x:v>
      </x:c>
      <x:c r="H5" s="81" t="str">
        <x:v>Corrected</x:v>
      </x:c>
    </x:row>
    <x:row r="6" ht="21" customHeight="1">
      <x:c r="A6" s="82" t="str">
        <x:v>E-502</x:v>
      </x:c>
      <x:c r="B6" s="83" t="str">
        <x:v>B-2609-104</x:v>
      </x:c>
      <x:c r="C6" s="83" t="str">
        <x:v>PO Number</x:v>
      </x:c>
      <x:c r="D6" s="83" t="str">
        <x:v>Typo</x:v>
      </x:c>
      <x:c r="E6" s="83" t="str">
        <x:v>PO-9098</x:v>
      </x:c>
      <x:c r="F6" s="83" t="str">
        <x:v>PO-9089</x:v>
      </x:c>
      <x:c r="G6" s="83" t="str">
        <x:v>Digits corrected against the purchase order.</x:v>
      </x:c>
      <x:c r="H6" s="84" t="str">
        <x:v>Corrected</x:v>
      </x:c>
    </x:row>
    <x:row r="7" ht="21" customHeight="1">
      <x:c r="A7" s="79" t="str">
        <x:v>E-503</x:v>
      </x:c>
      <x:c r="B7" s="80" t="str">
        <x:v>B-2609-104</x:v>
      </x:c>
      <x:c r="C7" s="80" t="str">
        <x:v>Record ID</x:v>
      </x:c>
      <x:c r="D7" s="80" t="str">
        <x:v>Duplicate</x:v>
      </x:c>
      <x:c r="E7" s="80" t="str">
        <x:v>C-1042</x:v>
      </x:c>
      <x:c r="F7" s="80" t="str">
        <x:v>C-1042</x:v>
      </x:c>
      <x:c r="G7" s="80" t="str">
        <x:v>Duplicate held for master-record review.</x:v>
      </x:c>
      <x:c r="H7" s="81" t="str">
        <x:v>Corrected</x:v>
      </x:c>
    </x:row>
    <x:row r="8" ht="21" customHeight="1">
      <x:c r="A8" s="82" t="str">
        <x:v>E-504</x:v>
      </x:c>
      <x:c r="B8" s="83" t="str">
        <x:v>B-2609-105</x:v>
      </x:c>
      <x:c r="C8" s="83" t="str">
        <x:v>Country</x:v>
      </x:c>
      <x:c r="D8" s="83" t="str">
        <x:v>Invalid format</x:v>
      </x:c>
      <x:c r="E8" s="83" t="str">
        <x:v>United States</x:v>
      </x:c>
      <x:c r="F8" s="83" t="str">
        <x:v>United states </x:v>
      </x:c>
      <x:c r="G8" s="83" t="str">
        <x:v>Value standardized to the approved country label.</x:v>
      </x:c>
      <x:c r="H8" s="84" t="str">
        <x:v>Corrected</x:v>
      </x:c>
    </x:row>
    <x:row r="9" ht="21" customHeight="1">
      <x:c r="A9" s="79" t="str">
        <x:v>E-505</x:v>
      </x:c>
      <x:c r="B9" s="80" t="str">
        <x:v>B-2609-107</x:v>
      </x:c>
      <x:c r="C9" s="80" t="str">
        <x:v>Order Status</x:v>
      </x:c>
      <x:c r="D9" s="80" t="str">
        <x:v>Source mismatch</x:v>
      </x:c>
      <x:c r="E9" s="80" t="str">
        <x:v>Shipped</x:v>
      </x:c>
      <x:c r="F9" s="80" t="str">
        <x:v>Pending</x:v>
      </x:c>
      <x:c r="G9" s="80" t="str">
        <x:v>Status corrected against the shipping log.</x:v>
      </x:c>
      <x:c r="H9" s="81" t="str">
        <x:v>Corrected</x:v>
      </x:c>
    </x:row>
    <x:row r="10" ht="21" customHeight="1">
      <x:c r="A10" s="82" t="str">
        <x:v>E-506</x:v>
      </x:c>
      <x:c r="B10" s="83" t="str">
        <x:v>B-2609-107</x:v>
      </x:c>
      <x:c r="C10" s="83" t="str">
        <x:v>Email</x:v>
      </x:c>
      <x:c r="D10" s="83" t="str">
        <x:v>Missing field</x:v>
      </x:c>
      <x:c r="E10" s="83" t="str">
        <x:v>lee.park@example.test</x:v>
      </x:c>
      <x:c r="F10" s="83" t="str"/>
      <x:c r="G10" s="83" t="str">
        <x:v>Awaiting source confirmation.</x:v>
      </x:c>
      <x:c r="H10" s="84" t="str">
        <x:v>Open</x:v>
      </x:c>
    </x:row>
    <x:row r="11" ht="21" customHeight="1">
      <x:c r="A11" s="79" t="str">
        <x:v>E-507</x:v>
      </x:c>
      <x:c r="B11" s="80" t="str">
        <x:v>B-2609-107</x:v>
      </x:c>
      <x:c r="C11" s="80" t="str">
        <x:v>PO Number</x:v>
      </x:c>
      <x:c r="D11" s="80" t="str">
        <x:v>Typo</x:v>
      </x:c>
      <x:c r="E11" s="80" t="str">
        <x:v>PO-9098</x:v>
      </x:c>
      <x:c r="F11" s="80" t="str">
        <x:v>PO-9089</x:v>
      </x:c>
      <x:c r="G11" s="80" t="str">
        <x:v>Awaiting source confirmation.</x:v>
      </x:c>
      <x:c r="H11" s="81" t="str">
        <x:v>Open</x:v>
      </x:c>
    </x:row>
    <x:row r="12" ht="21" customHeight="1">
      <x:c r="A12" s="82" t="str">
        <x:v>E-508</x:v>
      </x:c>
      <x:c r="B12" s="83" t="str">
        <x:v>B-2609-108</x:v>
      </x:c>
      <x:c r="C12" s="83" t="str">
        <x:v>Record ID</x:v>
      </x:c>
      <x:c r="D12" s="83" t="str">
        <x:v>Duplicate</x:v>
      </x:c>
      <x:c r="E12" s="83" t="str">
        <x:v>C-1042</x:v>
      </x:c>
      <x:c r="F12" s="83" t="str">
        <x:v>C-1042</x:v>
      </x:c>
      <x:c r="G12" s="83" t="str">
        <x:v>Duplicate held for master-record review.</x:v>
      </x:c>
      <x:c r="H12" s="84" t="str">
        <x:v>Corrected</x:v>
      </x:c>
    </x:row>
    <x:row r="13" ht="21" customHeight="1">
      <x:c r="A13" s="79" t="str">
        <x:v>E-509</x:v>
      </x:c>
      <x:c r="B13" s="80" t="str">
        <x:v>B-2609-110</x:v>
      </x:c>
      <x:c r="C13" s="80" t="str">
        <x:v>Country</x:v>
      </x:c>
      <x:c r="D13" s="80" t="str">
        <x:v>Invalid format</x:v>
      </x:c>
      <x:c r="E13" s="80" t="str">
        <x:v>United States</x:v>
      </x:c>
      <x:c r="F13" s="80" t="str">
        <x:v>United states </x:v>
      </x:c>
      <x:c r="G13" s="80" t="str">
        <x:v>Value standardized to the approved country label.</x:v>
      </x:c>
      <x:c r="H13" s="81" t="str">
        <x:v>Corrected</x:v>
      </x:c>
    </x:row>
    <x:row r="14" ht="21" customHeight="1">
      <x:c r="A14" s="82" t="str">
        <x:v>E-510</x:v>
      </x:c>
      <x:c r="B14" s="83" t="str">
        <x:v>B-2609-110</x:v>
      </x:c>
      <x:c r="C14" s="83" t="str">
        <x:v>Order Status</x:v>
      </x:c>
      <x:c r="D14" s="83" t="str">
        <x:v>Source mismatch</x:v>
      </x:c>
      <x:c r="E14" s="83" t="str">
        <x:v>Shipped</x:v>
      </x:c>
      <x:c r="F14" s="83" t="str">
        <x:v>Pending</x:v>
      </x:c>
      <x:c r="G14" s="83" t="str">
        <x:v>Status corrected against the shipping log.</x:v>
      </x:c>
      <x:c r="H14" s="84" t="str">
        <x:v>Corrected</x:v>
      </x:c>
    </x:row>
    <x:row r="15" ht="21" customHeight="1">
      <x:c r="A15" s="79" t="str">
        <x:v>E-511</x:v>
      </x:c>
      <x:c r="B15" s="80" t="str">
        <x:v>B-2609-111</x:v>
      </x:c>
      <x:c r="C15" s="80" t="str">
        <x:v>Email</x:v>
      </x:c>
      <x:c r="D15" s="80" t="str">
        <x:v>Missing field</x:v>
      </x:c>
      <x:c r="E15" s="80" t="str">
        <x:v>lee.park@example.test</x:v>
      </x:c>
      <x:c r="F15" s="80" t="str"/>
      <x:c r="G15" s="80" t="str">
        <x:v>Email copied from the source record.</x:v>
      </x:c>
      <x:c r="H15" s="81" t="str">
        <x:v>Corrected</x:v>
      </x:c>
    </x:row>
  </x:sheetData>
  <x:dataValidations count="2">
    <x:dataValidation type="list" sqref="D5:D15">
      <x:formula1>"Missing field,Typo,Duplicate,Invalid format,Source mismatch"</x:formula1>
    </x:dataValidation>
    <x:dataValidation type="list" sqref="H5:H15">
      <x:formula1>"Open,Corrected"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c28bb52e864cef"/>
  </x:tableParts>
</x:worksheet>
</file>