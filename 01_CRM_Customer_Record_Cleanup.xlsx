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78efeb0e6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3a05d9f9f7549e3"/>
    <x:sheet xmlns:r="http://schemas.openxmlformats.org/officeDocument/2006/relationships" name="Entry Queue" sheetId="2" r:id="Rbe53615448214c28"/>
    <x:sheet xmlns:r="http://schemas.openxmlformats.org/officeDocument/2006/relationships" name="Import Ready" sheetId="3" r:id="R45b7f482964f42ae"/>
    <x:sheet xmlns:r="http://schemas.openxmlformats.org/officeDocument/2006/relationships" name="QC Checks" sheetId="4" r:id="R737c7dd6df8d4024"/>
    <x:sheet xmlns:r="http://schemas.openxmlformats.org/officeDocument/2006/relationships" name="Field Rules" sheetId="5" r:id="R1062fb876970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7">
    <x:font>
      <x:sz val="11"/>
      <x:name val="Carlito"/>
    </x:font>
    <x:font>
      <x:b/>
      <x:sz val="17"/>
      <x:color rgb="FF1F3A5F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sz val="10"/>
      <x:color rgb="FF243247"/>
      <x:name val="Arial"/>
    </x:font>
    <x:font>
      <x:b/>
      <x:sz val="10"/>
      <x:color rgb="FF1F3A5F"/>
      <x:name val="Arial"/>
    </x:font>
    <x:font>
      <x:b/>
      <x:sz val="11"/>
      <x:color rgb="FF1F3A5F"/>
      <x:name val="Arial"/>
    </x:font>
    <x:font>
      <x:i/>
      <x:sz val="9"/>
      <x:color rgb="FF526174"/>
      <x:name val="Arial"/>
    </x:font>
    <x:font>
      <x:b/>
      <x:sz val="10"/>
      <x:color rgb="FF243247"/>
      <x:name val="Arial"/>
    </x:font>
    <x:font>
      <x:i/>
      <x:sz val="10"/>
      <x:color rgb="FF243247"/>
      <x:name val="Arial"/>
    </x:font>
    <x:font>
      <x:b/>
      <x:sz val="16"/>
      <x:color rgb="FF1F3A5F"/>
      <x:name val="Arial"/>
    </x:font>
    <x:font>
      <x:b/>
      <x:sz val="16"/>
      <x:color rgb="FF0F766E"/>
      <x:name val="Arial"/>
    </x:font>
    <x:font>
      <x:i/>
      <x:sz val="10"/>
      <x:color rgb="FF64748B"/>
      <x:name val="Arial"/>
    </x:font>
    <x:font>
      <x:b/>
      <x:sz val="10"/>
      <x:color rgb="FF0F766E"/>
      <x:name val="Arial"/>
    </x:font>
    <x:font>
      <x:b/>
      <x:sz val="16"/>
      <x:color rgb="FF148A83"/>
      <x:name val="Arial"/>
    </x:font>
    <x:font>
      <x:b/>
      <x:sz val="16"/>
      <x:color rgb="FF6956A5"/>
      <x:name val="Arial"/>
    </x:font>
    <x:font>
      <x:b/>
      <x:sz val="16"/>
      <x:color rgb="FFA56B1F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1F8"/>
      </x:patternFill>
    </x:fill>
    <x:fill>
      <x:patternFill patternType="solid">
        <x:fgColor rgb="FFFFF7E0"/>
      </x:patternFill>
    </x:fill>
    <x:fill>
      <x:patternFill patternType="solid">
        <x:fgColor rgb="FF0F766E"/>
      </x:patternFill>
    </x:fill>
    <x:fill>
      <x:patternFill patternType="solid">
        <x:fgColor rgb="FF168A9A"/>
      </x:patternFill>
    </x:fill>
    <x:fill>
      <x:patternFill patternType="solid">
        <x:fgColor rgb="FF6554A4"/>
      </x:patternFill>
    </x:fill>
    <x:fill>
      <x:patternFill patternType="solid">
        <x:fgColor rgb="FFB7791F"/>
      </x:patternFill>
    </x:fill>
    <x:fill>
      <x:patternFill patternType="solid">
        <x:fgColor rgb="FFF7FAFC"/>
      </x:patternFill>
    </x:fill>
    <x:fill>
      <x:patternFill patternType="solid">
        <x:fgColor rgb="FFDCEFEB"/>
      </x:patternFill>
    </x:fill>
    <x:fill>
      <x:patternFill patternType="solid">
        <x:fgColor rgb="FFC17B22"/>
      </x:patternFill>
    </x:fill>
    <x:fill>
      <x:patternFill patternType="solid">
        <x:fgColor rgb="FFFFF5E3"/>
      </x:patternFill>
    </x:fill>
    <x:fill>
      <x:patternFill patternType="solid">
        <x:fgColor rgb="FFFFFAF1"/>
      </x:patternFill>
    </x:fill>
    <x:fill>
      <x:patternFill patternType="solid">
        <x:fgColor rgb="FF148A83"/>
      </x:patternFill>
    </x:fill>
    <x:fill>
      <x:patternFill patternType="solid">
        <x:fgColor rgb="FFE9F6F4"/>
      </x:patternFill>
    </x:fill>
    <x:fill>
      <x:patternFill patternType="solid">
        <x:fgColor rgb="FFF4FAF9"/>
      </x:patternFill>
    </x:fill>
    <x:fill>
      <x:patternFill patternType="solid">
        <x:fgColor rgb="FF6956A5"/>
      </x:patternFill>
    </x:fill>
    <x:fill>
      <x:patternFill patternType="solid">
        <x:fgColor rgb="FFF1EEFA"/>
      </x:patternFill>
    </x:fill>
    <x:fill>
      <x:patternFill patternType="solid">
        <x:fgColor rgb="FFFAF9FD"/>
      </x:patternFill>
    </x:fill>
    <x:fill>
      <x:patternFill patternType="solid">
        <x:fgColor rgb="FFA56B1F"/>
      </x:patternFill>
    </x:fill>
    <x:fill>
      <x:patternFill patternType="solid">
        <x:fgColor rgb="FFFFFBF4"/>
      </x:patternFill>
    </x:fill>
  </x:fills>
  <x:borders count="4">
    <x:border/>
    <x:border>
      <x:right style="thin">
        <x:color rgb="FFD9E2F0"/>
      </x:right>
    </x:border>
    <x:border>
      <x:left style="thin">
        <x:color rgb="FFD9E2F0"/>
      </x:left>
      <x:right style="thin">
        <x:color rgb="FFD9E2F0"/>
      </x:right>
    </x:border>
    <x:border>
      <x:left style="thin">
        <x:color rgb="FFD9E2F0"/>
      </x:left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3" fillId="8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200" fontId="8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200" fontId="13" fillId="10" borderId="0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vertical="center"/>
    </x:xf>
    <x:xf numFmtId="201" fontId="4" fillId="12" borderId="2" xfId="0" applyNumberFormat="1" applyFont="1" applyFill="1" applyBorder="1" applyAlignment="1">
      <x:alignment vertical="center"/>
    </x:xf>
    <x:xf numFmtId="0" fontId="4" fillId="12" borderId="3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vertical="center"/>
    </x:xf>
    <x:xf numFmtId="0" fontId="4" fillId="13" borderId="2" xfId="0" applyNumberFormat="1" applyFont="1" applyFill="1" applyBorder="1" applyAlignment="1">
      <x:alignment vertical="center"/>
    </x:xf>
    <x:xf numFmtId="201" fontId="4" fillId="13" borderId="2" xfId="0" applyNumberFormat="1" applyFont="1" applyFill="1" applyBorder="1" applyAlignment="1">
      <x:alignment vertical="center"/>
    </x:xf>
    <x:xf numFmtId="0" fontId="4" fillId="13" borderId="3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/>
    </x:xf>
    <x:xf numFmtId="201" fontId="4" fillId="15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201" fontId="4" fillId="16" borderId="0" xfId="0" applyNumberFormat="1" applyFont="1" applyFill="1" applyBorder="1" applyAlignment="1">
      <x:alignment vertical="center"/>
    </x:xf>
    <x:xf numFmtId="0" fontId="8" fillId="16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3" fillId="17" borderId="1" xfId="0" applyNumberFormat="1" applyFont="1" applyFill="1" applyBorder="1" applyAlignment="1">
      <x:alignment horizontal="center" vertical="center" wrapText="1"/>
    </x:xf>
    <x:xf numFmtId="0" fontId="3" fillId="17" borderId="2" xfId="0" applyNumberFormat="1" applyFont="1" applyFill="1" applyBorder="1" applyAlignment="1">
      <x:alignment horizontal="center" vertical="center" wrapText="1"/>
    </x:xf>
    <x:xf numFmtId="0" fontId="3" fillId="17" borderId="3" xfId="0" applyNumberFormat="1" applyFont="1" applyFill="1" applyBorder="1" applyAlignment="1">
      <x:alignment horizontal="center" vertical="center" wrapText="1"/>
    </x:xf>
    <x:xf numFmtId="0" fontId="4" fillId="18" borderId="1" xfId="0" applyNumberFormat="1" applyFont="1" applyFill="1" applyBorder="1" applyAlignment="1">
      <x:alignment vertical="center"/>
    </x:xf>
    <x:xf numFmtId="0" fontId="4" fillId="18" borderId="2" xfId="0" applyNumberFormat="1" applyFont="1" applyFill="1" applyBorder="1" applyAlignment="1">
      <x:alignment vertical="center"/>
    </x:xf>
    <x:xf numFmtId="0" fontId="8" fillId="18" borderId="3" xfId="0" applyNumberFormat="1" applyFont="1" applyFill="1" applyBorder="1" applyAlignment="1">
      <x:alignment vertical="center"/>
    </x:xf>
    <x:xf numFmtId="0" fontId="4" fillId="19" borderId="1" xfId="0" applyNumberFormat="1" applyFont="1" applyFill="1" applyBorder="1" applyAlignment="1">
      <x:alignment vertical="center"/>
    </x:xf>
    <x:xf numFmtId="0" fontId="4" fillId="19" borderId="2" xfId="0" applyNumberFormat="1" applyFont="1" applyFill="1" applyBorder="1" applyAlignment="1">
      <x:alignment vertical="center"/>
    </x:xf>
    <x:xf numFmtId="0" fontId="8" fillId="19" borderId="3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 vertical="center" wrapText="1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3" fillId="20" borderId="2" xfId="0" applyNumberFormat="1" applyFont="1" applyFill="1" applyBorder="1" applyAlignment="1">
      <x:alignment horizontal="center" vertical="center" wrapText="1"/>
    </x:xf>
    <x:xf numFmtId="0" fontId="3" fillId="20" borderId="3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/>
    <x:xf numFmtId="0" fontId="4" fillId="12" borderId="2" xfId="0" applyNumberFormat="1" applyFont="1" applyFill="1" applyBorder="1"/>
    <x:xf numFmtId="0" fontId="4" fillId="12" borderId="3" xfId="0" applyNumberFormat="1" applyFont="1" applyFill="1" applyBorder="1"/>
    <x:xf numFmtId="0" fontId="4" fillId="21" borderId="1" xfId="0" applyNumberFormat="1" applyFont="1" applyFill="1" applyBorder="1"/>
    <x:xf numFmtId="0" fontId="4" fillId="21" borderId="2" xfId="0" applyNumberFormat="1" applyFont="1" applyFill="1" applyBorder="1"/>
    <x:xf numFmtId="0" fontId="4" fillId="21" borderId="3" xfId="0" applyNumberFormat="1" applyFont="1" applyFill="1" applyBorder="1"/>
  </x:cellXfs>
  <x:cellStyles count="1">
    <x:cellStyle name="Normal" xfId="0"/>
  </x:cellStyles>
  <x:dxfs count="12"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f19efd87f479b" /><Relationship Type="http://schemas.openxmlformats.org/officeDocument/2006/relationships/theme" Target="/xl/theme/theme1.xml" Id="Re2a6af41119f424b" /><Relationship Type="http://schemas.openxmlformats.org/officeDocument/2006/relationships/sharedStrings" Target="/xl/sharedStrings.xml" Id="R7ef29e9850bd4f9a" /><Relationship Type="http://schemas.openxmlformats.org/officeDocument/2006/relationships/worksheet" Target="/xl/worksheets/sheet1.xml" Id="R83a05d9f9f7549e3" /><Relationship Type="http://schemas.openxmlformats.org/officeDocument/2006/relationships/worksheet" Target="/xl/worksheets/sheet2.xml" Id="Rbe53615448214c28" /><Relationship Type="http://schemas.openxmlformats.org/officeDocument/2006/relationships/worksheet" Target="/xl/worksheets/sheet3.xml" Id="R45b7f482964f42ae" /><Relationship Type="http://schemas.openxmlformats.org/officeDocument/2006/relationships/worksheet" Target="/xl/worksheets/sheet4.xml" Id="R737c7dd6df8d4024" /><Relationship Type="http://schemas.openxmlformats.org/officeDocument/2006/relationships/worksheet" Target="/xl/worksheets/sheet5.xml" Id="R1062fb87697041cb" /></Relationships>
</file>

<file path=xl/tables/table1.xml><?xml version="1.0" encoding="utf-8"?>
<x:table xmlns:x="http://schemas.openxmlformats.org/spreadsheetml/2006/main" id="1" name="ExpandedCustomerQueue" displayName="ExpandedCustomerQueue" ref="A4:N124" headerRowCount="1" totalsRowCount="0" totalsRowShown="0">
  <x:tableColumns count="14">
    <x:tableColumn id="1" name="Record ID"/>
    <x:tableColumn id="2" name="First Name"/>
    <x:tableColumn id="3" name="Last Name"/>
    <x:tableColumn id="4" name="Organization"/>
    <x:tableColumn id="5" name="Email"/>
    <x:tableColumn id="6" name="Phone"/>
    <x:tableColumn id="7" name="Country"/>
    <x:tableColumn id="8" name="Territory"/>
    <x:tableColumn id="9" name="Lead Source"/>
    <x:tableColumn id="10" name="Customer Segment"/>
    <x:tableColumn id="11" name="Account Status"/>
    <x:tableColumn id="12" name="Date Added"/>
    <x:tableColumn id="13" name="Entered By"/>
    <x:tableColumn id="14" name="Record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andedCRMImportReady" displayName="ExpandedCRMImportReady" ref="A4:O124" headerRowCount="1" totalsRowCount="0" totalsRowShown="0">
  <x:tableColumns count="15">
    <x:tableColumn id="1" name="Record ID"/>
    <x:tableColumn id="2" name="First Name"/>
    <x:tableColumn id="3" name="Last Name"/>
    <x:tableColumn id="4" name="Contact Name"/>
    <x:tableColumn id="5" name="Organization"/>
    <x:tableColumn id="6" name="Email"/>
    <x:tableColumn id="7" name="Phone"/>
    <x:tableColumn id="8" name="Country"/>
    <x:tableColumn id="9" name="Territory"/>
    <x:tableColumn id="10" name="Lead Source"/>
    <x:tableColumn id="11" name="Customer Segment"/>
    <x:tableColumn id="12" name="Account Status"/>
    <x:tableColumn id="13" name="Date Added"/>
    <x:tableColumn id="14" name="Entered By"/>
    <x:tableColumn id="15" name="Impor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QCChecks" displayName="CustomerQCChecks" ref="A4:I124" headerRowCount="1" totalsRowCount="0" totalsRowShown="0">
  <x:tableColumns count="9">
    <x:tableColumn id="1" name="Record ID"/>
    <x:tableColumn id="2" name="Required Fields"/>
    <x:tableColumn id="3" name="Email Format"/>
    <x:tableColumn id="4" name="Duplicate ID"/>
    <x:tableColumn id="5" name="Duplicate Email"/>
    <x:tableColumn id="6" name="Phone Format"/>
    <x:tableColumn id="7" name="Duplicate Phone"/>
    <x:tableColumn id="8" name="Reference Values"/>
    <x:tableColumn id="9" name="Overall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andedCustomerFieldRules" displayName="ExpandedCustomerFieldRules" ref="A4:D18" headerRowCount="1" totalsRowCount="0" totalsRowShown="0">
  <x:tableColumns count="4">
    <x:tableColumn id="1" name="Field"/>
    <x:tableColumn id="2" name="Required"/>
    <x:tableColumn id="3" name="Validation rule"/>
    <x:tableColumn id="4" name="Examp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stomerApprovedValues" displayName="CustomerApprovedValues" ref="F4:J9" headerRowCount="1" totalsRowCount="0" totalsRowShown="0">
  <x:tableColumns count="5">
    <x:tableColumn id="1" name="Country"/>
    <x:tableColumn id="2" name="Territory"/>
    <x:tableColumn id="3" name="Lead Source"/>
    <x:tableColumn id="4" name="Customer Segment"/>
    <x:tableColumn id="5" name="Accou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8c151ccdef4c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8c3e2b65fa45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fee6657ba543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8ea859365344b8" /><Relationship Type="http://schemas.openxmlformats.org/officeDocument/2006/relationships/table" Target="/xl/tables/table5.xml" Id="R3dbdf54cb5b4430f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78" hidden="0" customWidth="1"/>
    <x:col min="3" max="3" width="54" hidden="0" customWidth="1"/>
  </x:cols>
  <x:sheetData>
    <x:row r="1" ht="30" customHeight="1">
      <x:c r="A1" s="50" t="str">
        <x:v>CRM customer record cleanup</x:v>
      </x:c>
      <x:c r="B1" s="50"/>
      <x:c r="C1" s="50"/>
    </x:row>
    <x:row r="2" ht="26" customHeight="1">
      <x:c r="A2" s="51" t="str">
        <x:v>Expanded sales operations project | 120 fictional records with multi-step validation, duplicate checks, and import handoff</x:v>
      </x:c>
      <x:c r="B2" s="51"/>
      <x:c r="C2" s="51"/>
    </x:row>
    <x:row r="3">
      <x:c r="A3" s="7"/>
      <x:c r="B3" s="7"/>
    </x:row>
    <x:row r="4" ht="28" customHeight="1">
      <x:c r="A4" s="52" t="str">
        <x:v>Portfolio metric</x:v>
      </x:c>
      <x:c r="B4" s="52" t="str">
        <x:v>Result</x:v>
      </x:c>
      <x:c r="C4" s="52" t="str">
        <x:v>What it demonstrates</x:v>
      </x:c>
    </x:row>
    <x:row r="5" ht="27" customHeight="1">
      <x:c r="A5" s="56" t="str">
        <x:v>Records in queue</x:v>
      </x:c>
      <x:c r="B5" s="59" t="n">
        <x:f>COUNTA('Entry Queue'!$A$5:$A$124)</x:f>
        <x:v>120</x:v>
      </x:c>
      <x:c r="C5" s="56" t="str">
        <x:v>Counts the customer records received for processing.</x:v>
      </x:c>
    </x:row>
    <x:row r="6" ht="27" customHeight="1">
      <x:c r="A6" s="56" t="str">
        <x:v>Ready for import</x:v>
      </x:c>
      <x:c r="B6" s="59" t="n">
        <x:f>COUNTIF('Import Ready'!$O$5:$O$124,"Ready")</x:f>
        <x:v>104</x:v>
      </x:c>
      <x:c r="C6" s="56" t="str">
        <x:v>Counts normalized records that pass every check.</x:v>
      </x:c>
    </x:row>
    <x:row r="7" ht="27" customHeight="1">
      <x:c r="A7" s="56" t="str">
        <x:v>Needs review</x:v>
      </x:c>
      <x:c r="B7" s="59" t="n">
        <x:f>COUNTA('Import Ready'!$O$5:$O$124)-COUNTIF('Import Ready'!$O$5:$O$124,"Ready")</x:f>
        <x:v>16</x:v>
      </x:c>
      <x:c r="C7" s="56" t="str">
        <x:v>Counts records to correct or escalate before import.</x:v>
      </x:c>
    </x:row>
    <x:row r="8" ht="27" customHeight="1">
      <x:c r="A8" s="56" t="str">
        <x:v>Check flags</x:v>
      </x:c>
      <x:c r="B8" s="60" t="n">
        <x:f>COUNTIF('QC Checks'!$B$5:$B$124,"Missing required field")+COUNTIF('QC Checks'!$C$5:$C$124,"Check email")+COUNTIF('QC Checks'!$D$5:$D$124,"Duplicate record ID")+COUNTIF('QC Checks'!$E$5:$E$124,"Duplicate email")+COUNTIF('QC Checks'!$F$5:$F$124,"Check phone length")+COUNTIF('QC Checks'!$G$5:$G$124,"Duplicate phone")+COUNTIF('QC Checks'!$H$5:$H$124,"Check country")+COUNTIF('QC Checks'!$H$5:$H$124,"Check territory")+COUNTIF('QC Checks'!$H$5:$H$124,"Check lead source")+COUNTIF('QC Checks'!$H$5:$H$124,"Check segment")+COUNTIF('QC Checks'!$H$5:$H$124,"Check account status")</x:f>
        <x:v>18</x:v>
      </x:c>
      <x:c r="C8" s="56" t="str">
        <x:v>Counts individual data-quality flags. One record can have more than one flag.</x:v>
      </x:c>
    </x:row>
    <x:row r="9">
      <x:c r="A9" s="7"/>
      <x:c r="B9" s="7"/>
    </x:row>
    <x:row r="10">
      <x:c r="A10" s="53" t="str">
        <x:v>Workflow</x:v>
      </x:c>
      <x:c r="B10" s="53" t="str">
        <x:v>What to do</x:v>
      </x:c>
    </x:row>
    <x:row r="11" ht="34" customHeight="1">
      <x:c r="A11" s="13" t="str">
        <x:v>1. Inspect</x:v>
      </x:c>
      <x:c r="B11" s="13" t="str">
        <x:v>Review the Entry Queue against Field Rules. The 120-row intake contains seeded exceptions and formatting variations.</x:v>
      </x:c>
    </x:row>
    <x:row r="12" ht="34" customHeight="1">
      <x:c r="A12" s="13" t="str">
        <x:v>2. Standardize</x:v>
      </x:c>
      <x:c r="B12" s="13" t="str">
        <x:v>Use Import Ready to normalize names, organizations, email casing, phone punctuation, and country labels.</x:v>
      </x:c>
    </x:row>
    <x:row r="13" ht="34" customHeight="1">
      <x:c r="A13" s="13" t="str">
        <x:v>3. Review checks</x:v>
      </x:c>
      <x:c r="B13" s="13" t="str">
        <x:v>Use QC Checks to inspect missing fields, email format, duplicate IDs/emails/phones, phone length, and unapproved categories.</x:v>
      </x:c>
    </x:row>
    <x:row r="14" ht="34" customHeight="1">
      <x:c r="A14" s="13" t="str">
        <x:v>4. Resolve</x:v>
      </x:c>
      <x:c r="B14" s="13" t="str">
        <x:v>Correct source fields in Entry Queue. Recheck the row-level statuses before moving records to a CRM.</x:v>
      </x:c>
    </x:row>
    <x:row r="15" ht="34" customHeight="1">
      <x:c r="A15" s="13" t="str">
        <x:v>5. Export</x:v>
      </x:c>
      <x:c r="B15" s="13" t="str">
        <x:v>Filter Import Status to Ready and save only those rows as a mock CRM import CSV.</x:v>
      </x:c>
    </x:row>
    <x:row r="16">
      <x:c r="A16" s="54" t="str">
        <x:v>Workbook sheet</x:v>
      </x:c>
      <x:c r="B16" s="54" t="str">
        <x:v>Purpose</x:v>
      </x:c>
    </x:row>
    <x:row r="17" ht="29" customHeight="1">
      <x:c r="A17" s="13" t="str">
        <x:v>Entry Queue</x:v>
      </x:c>
      <x:c r="B17" s="13" t="str">
        <x:v>120 fictional intake records. Amber cells are editable source fields.</x:v>
      </x:c>
    </x:row>
    <x:row r="18" ht="29" customHeight="1">
      <x:c r="A18" s="13" t="str">
        <x:v>Import Ready</x:v>
      </x:c>
      <x:c r="B18" s="13" t="str">
        <x:v>Formula-cleaned customer fields with a linked import status.</x:v>
      </x:c>
    </x:row>
    <x:row r="19" ht="29" customHeight="1">
      <x:c r="A19" s="13" t="str">
        <x:v>QC Checks</x:v>
      </x:c>
      <x:c r="B19" s="13" t="str">
        <x:v>Separate formula checks make each exception reason auditable.</x:v>
      </x:c>
    </x:row>
    <x:row r="20" ht="29" customHeight="1">
      <x:c r="A20" s="13" t="str">
        <x:v>Field Rules</x:v>
      </x:c>
      <x:c r="B20" s="13" t="str">
        <x:v>Required fields and approved country, territory, source, segment, and status values.</x:v>
      </x:c>
    </x:row>
    <x:row r="21" ht="29" customHeight="1">
      <x:c r="A21" s="7"/>
      <x:c r="B21" s="7"/>
    </x:row>
    <x:row r="22" ht="29" customHeight="1">
      <x:c r="A22" s="7"/>
      <x:c r="B22" s="7"/>
    </x:row>
    <x:row r="23">
      <x:c r="A23" s="55" t="str">
        <x:v>Skill</x:v>
      </x:c>
      <x:c r="B23" s="55" t="str">
        <x:v>Portfolio evidence</x:v>
      </x:c>
    </x:row>
    <x:row r="24">
      <x:c r="A24" s="13" t="str">
        <x:v>High-volume record handling</x:v>
      </x:c>
      <x:c r="B24" s="13" t="str">
        <x:v>Maintains and reviews a 120-row contact intake table.</x:v>
      </x:c>
    </x:row>
    <x:row r="25">
      <x:c r="A25" s="13" t="str">
        <x:v>Data normalization</x:v>
      </x:c>
      <x:c r="B25" s="13" t="str">
        <x:v>Uses TRIM, PROPER, and LOWER to standardize field values.</x:v>
      </x:c>
    </x:row>
    <x:row r="26">
      <x:c r="A26" s="13" t="str">
        <x:v>Multi-step quality control</x:v>
      </x:c>
      <x:c r="B26" s="13" t="str">
        <x:v>Checks missing fields, email and phone formats, duplicate IDs/emails/phones, and reference values.</x:v>
      </x:c>
    </x:row>
    <x:row r="27">
      <x:c r="A27" s="13" t="str">
        <x:v>Controlled CRM handoff</x:v>
      </x:c>
      <x:c r="B27" s="13" t="str">
        <x:v>Provides dropdowns, filterable checks, and an import-ready output.</x:v>
      </x:c>
    </x:row>
    <x:row r="28">
      <x:c r="A28" s="7"/>
      <x:c r="B28" s="7"/>
    </x:row>
    <x:row r="29">
      <x:c r="A29" s="7"/>
      <x:c r="B29" s="7"/>
    </x:row>
    <x:row r="30">
      <x:c r="A30" s="18" t="str">
        <x:v>Portfolio demo</x:v>
      </x:c>
      <x:c r="B30" s="13" t="str">
        <x:v>Show how one record moves from Entry Queue through normalized output and QC Checks. Correct an exception, confirm its checks clear, and explain why only Ready rows go into a CRM import.</x:v>
      </x:c>
    </x:row>
    <x:row r="31">
      <x:c r="A31" s="7"/>
      <x:c r="B31" s="7"/>
    </x:row>
    <x:row r="32">
      <x:c r="A32" s="18" t="str">
        <x:v>Data note</x:v>
      </x:c>
      <x:c r="B32" s="24" t="str">
        <x:v>All records are fictional and created for portfolio practice. No real customer, employee, or company data is included.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17B2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  <x:col min="5" max="5" width="39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16" hidden="0" customWidth="1"/>
    <x:col min="13" max="13" width="16" hidden="0" customWidth="1"/>
    <x:col min="14" max="14" width="21" hidden="0" customWidth="1"/>
  </x:cols>
  <x:sheetData>
    <x:row r="1" ht="27" customHeight="1">
      <x:c r="A1" s="50" t="str">
        <x:v>Customer intake queue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</x:row>
    <x:row r="2" ht="24" customHeight="1">
      <x:c r="A2" s="16" t="str">
        <x:v>120 fictional source records. Amber cells are editable inputs; approved values use dropdowns.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4" ht="30" customHeight="1">
      <x:c r="A4" s="61" t="str">
        <x:v>Record ID</x:v>
      </x:c>
      <x:c r="B4" s="62" t="str">
        <x:v>First Name</x:v>
      </x:c>
      <x:c r="C4" s="62" t="str">
        <x:v>Last Name</x:v>
      </x:c>
      <x:c r="D4" s="62" t="str">
        <x:v>Organization</x:v>
      </x:c>
      <x:c r="E4" s="62" t="str">
        <x:v>Email</x:v>
      </x:c>
      <x:c r="F4" s="62" t="str">
        <x:v>Phone</x:v>
      </x:c>
      <x:c r="G4" s="62" t="str">
        <x:v>Country</x:v>
      </x:c>
      <x:c r="H4" s="62" t="str">
        <x:v>Territory</x:v>
      </x:c>
      <x:c r="I4" s="62" t="str">
        <x:v>Lead Source</x:v>
      </x:c>
      <x:c r="J4" s="62" t="str">
        <x:v>Customer Segment</x:v>
      </x:c>
      <x:c r="K4" s="62" t="str">
        <x:v>Account Status</x:v>
      </x:c>
      <x:c r="L4" s="62" t="str">
        <x:v>Date Added</x:v>
      </x:c>
      <x:c r="M4" s="62" t="str">
        <x:v>Entered By</x:v>
      </x:c>
      <x:c r="N4" s="63" t="str">
        <x:v>Record Type</x:v>
      </x:c>
    </x:row>
    <x:row r="5" ht="21" customHeight="1">
      <x:c r="A5" s="64" t="str">
        <x:v>C-2001</x:v>
      </x:c>
      <x:c r="B5" s="65" t="str">
        <x:v> MAYA </x:v>
      </x:c>
      <x:c r="C5" s="65" t="str">
        <x:v>  Chen  </x:v>
      </x:c>
      <x:c r="D5" s="65" t="str">
        <x:v>Northstar Supply</x:v>
      </x:c>
      <x:c r="E5" s="65" t="str">
        <x:v>maya.chen1000@northstarsupply.test</x:v>
      </x:c>
      <x:c r="F5" s="65" t="str">
        <x:v>+1 (202) 555-1000</x:v>
      </x:c>
      <x:c r="G5" s="65" t="str">
        <x:v>United States</x:v>
      </x:c>
      <x:c r="H5" s="65" t="str">
        <x:v>North</x:v>
      </x:c>
      <x:c r="I5" s="65" t="str">
        <x:v>Website</x:v>
      </x:c>
      <x:c r="J5" s="65" t="str">
        <x:v>Small business</x:v>
      </x:c>
      <x:c r="K5" s="65" t="str">
        <x:v>Active</x:v>
      </x:c>
      <x:c r="L5" s="66" t="n">
        <x:v>46023</x:v>
      </x:c>
      <x:c r="M5" s="65" t="str">
        <x:v>A. Patel</x:v>
      </x:c>
      <x:c r="N5" s="67" t="str">
        <x:v>New lead</x:v>
      </x:c>
    </x:row>
    <x:row r="6" ht="21" customHeight="1">
      <x:c r="A6" s="68" t="str">
        <x:v>C-2002</x:v>
      </x:c>
      <x:c r="B6" s="69" t="str">
        <x:v>jonah</x:v>
      </x:c>
      <x:c r="C6" s="69" t="str">
        <x:v>Cole</x:v>
      </x:c>
      <x:c r="D6" s="69" t="str">
        <x:v>Meridian Goods</x:v>
      </x:c>
      <x:c r="E6" s="69" t="str">
        <x:v>jonah.cole1001@meridiangoods.test</x:v>
      </x:c>
      <x:c r="F6" s="69" t="str">
        <x:v>+1-415-555-1001</x:v>
      </x:c>
      <x:c r="G6" s="69" t="str">
        <x:v>Australia</x:v>
      </x:c>
      <x:c r="H6" s="69" t="str">
        <x:v>Central</x:v>
      </x:c>
      <x:c r="I6" s="69" t="str">
        <x:v>Referral</x:v>
      </x:c>
      <x:c r="J6" s="69" t="str">
        <x:v>Nonprofit</x:v>
      </x:c>
      <x:c r="K6" s="69" t="str">
        <x:v>Prospect</x:v>
      </x:c>
      <x:c r="L6" s="70" t="n">
        <x:v>46055</x:v>
      </x:c>
      <x:c r="M6" s="69" t="str">
        <x:v>L. Brooks</x:v>
      </x:c>
      <x:c r="N6" s="71" t="str">
        <x:v>Existing contact</x:v>
      </x:c>
    </x:row>
    <x:row r="7" ht="21" customHeight="1">
      <x:c r="A7" s="64" t="str">
        <x:v>C-2003</x:v>
      </x:c>
      <x:c r="B7" s="65" t="str">
        <x:v>  Priya  </x:v>
      </x:c>
      <x:c r="C7" s="65" t="str">
        <x:v>Mahmood</x:v>
      </x:c>
      <x:c r="D7" s="65" t="str">
        <x:v>Sunbeam Stationery</x:v>
      </x:c>
      <x:c r="E7" s="65" t="str">
        <x:v>priya.mahmood1002@sunbeamstationery.test</x:v>
      </x:c>
      <x:c r="F7" s="65" t="str">
        <x:v>202 555 1002</x:v>
      </x:c>
      <x:c r="G7" s="65" t="str">
        <x:v>Canada</x:v>
      </x:c>
      <x:c r="H7" s="65" t="str">
        <x:v>International</x:v>
      </x:c>
      <x:c r="I7" s="65" t="str">
        <x:v>Trade show</x:v>
      </x:c>
      <x:c r="J7" s="65" t="str">
        <x:v>Mid-market</x:v>
      </x:c>
      <x:c r="K7" s="65" t="str">
        <x:v>Inactive</x:v>
      </x:c>
      <x:c r="L7" s="66" t="n">
        <x:v>46084</x:v>
      </x:c>
      <x:c r="M7" s="65" t="str">
        <x:v>R. Shah</x:v>
      </x:c>
      <x:c r="N7" s="67" t="str">
        <x:v>Account update</x:v>
      </x:c>
    </x:row>
    <x:row r="8" ht="21" customHeight="1">
      <x:c r="A8" s="68" t="str">
        <x:v>C-2004</x:v>
      </x:c>
      <x:c r="B8" s="69" t="str">
        <x:v>Owen</x:v>
      </x:c>
      <x:c r="C8" s="69" t="str">
        <x:v>Olsen</x:v>
      </x:c>
      <x:c r="D8" s="69" t="str">
        <x:v>Juniper Retail</x:v>
      </x:c>
      <x:c r="E8" s="69" t="str">
        <x:v>owen.olsen1003@juniperretail.test</x:v>
      </x:c>
      <x:c r="F8" s="69" t="str">
        <x:v>+1 (202) 555-1003</x:v>
      </x:c>
      <x:c r="G8" s="69" t="str">
        <x:v>India</x:v>
      </x:c>
      <x:c r="H8" s="69" t="str">
        <x:v>South</x:v>
      </x:c>
      <x:c r="I8" s="69" t="str">
        <x:v>Outbound</x:v>
      </x:c>
      <x:c r="J8" s="69" t="str">
        <x:v>Education</x:v>
      </x:c>
      <x:c r="K8" s="69" t="str">
        <x:v>Active</x:v>
      </x:c>
      <x:c r="L8" s="70" t="n">
        <x:v>46116</x:v>
      </x:c>
      <x:c r="M8" s="69" t="str">
        <x:v>M. Rivera</x:v>
      </x:c>
      <x:c r="N8" s="71" t="str">
        <x:v>New lead</x:v>
      </x:c>
    </x:row>
    <x:row r="9" ht="21" customHeight="1">
      <x:c r="A9" s="64" t="str">
        <x:v>C-2005</x:v>
      </x:c>
      <x:c r="B9" s="65" t="str">
        <x:v>Leila</x:v>
      </x:c>
      <x:c r="C9" s="65" t="str">
        <x:v>Clark</x:v>
      </x:c>
      <x:c r="D9" s="65" t="str">
        <x:v> BRIGHTWELL DESIGN </x:v>
      </x:c>
      <x:c r="E9" s="65" t="str">
        <x:v>leila.clark1004@brightwelldesign.test</x:v>
      </x:c>
      <x:c r="F9" s="65" t="str">
        <x:v>+1-415-555-1004</x:v>
      </x:c>
      <x:c r="G9" s="65" t="str">
        <x:v>United Kingdom</x:v>
      </x:c>
      <x:c r="H9" s="65" t="str">
        <x:v>West</x:v>
      </x:c>
      <x:c r="I9" s="65" t="str">
        <x:v>Partner</x:v>
      </x:c>
      <x:c r="J9" s="65" t="str">
        <x:v>Enterprise</x:v>
      </x:c>
      <x:c r="K9" s="65" t="str">
        <x:v>Prospect</x:v>
      </x:c>
      <x:c r="L9" s="66" t="n">
        <x:v>46147</x:v>
      </x:c>
      <x:c r="M9" s="65" t="str">
        <x:v>K. Evans</x:v>
      </x:c>
      <x:c r="N9" s="67" t="str">
        <x:v>Existing contact</x:v>
      </x:c>
    </x:row>
    <x:row r="10" ht="21" customHeight="1">
      <x:c r="A10" s="68" t="str">
        <x:v>C-2006</x:v>
      </x:c>
      <x:c r="B10" s="69" t="str">
        <x:v>Mateo</x:v>
      </x:c>
      <x:c r="C10" s="69" t="str">
        <x:v> SILVA </x:v>
      </x:c>
      <x:c r="D10" s="69" t="str">
        <x:v>granite grove</x:v>
      </x:c>
      <x:c r="E10" s="69" t="str">
        <x:v>maya.chen1000@northstarsupply.test</x:v>
      </x:c>
      <x:c r="F10" s="69" t="str">
        <x:v>202 555 1005</x:v>
      </x:c>
      <x:c r="G10" s="69" t="str">
        <x:v>United States</x:v>
      </x:c>
      <x:c r="H10" s="69" t="str">
        <x:v>North</x:v>
      </x:c>
      <x:c r="I10" s="69" t="str">
        <x:v>Website</x:v>
      </x:c>
      <x:c r="J10" s="69" t="str">
        <x:v>Small business</x:v>
      </x:c>
      <x:c r="K10" s="69" t="str">
        <x:v>Inactive</x:v>
      </x:c>
      <x:c r="L10" s="70" t="n">
        <x:v>46179</x:v>
      </x:c>
      <x:c r="M10" s="69" t="str">
        <x:v>A. Patel</x:v>
      </x:c>
      <x:c r="N10" s="71" t="str">
        <x:v>Account update</x:v>
      </x:c>
    </x:row>
    <x:row r="11" ht="21" customHeight="1">
      <x:c r="A11" s="64" t="str">
        <x:v>C-2007</x:v>
      </x:c>
      <x:c r="B11" s="65" t="str">
        <x:v>Ruth</x:v>
      </x:c>
      <x:c r="C11" s="65" t="str">
        <x:v>jensen</x:v>
      </x:c>
      <x:c r="D11" s="65" t="str">
        <x:v>  Blue Current  </x:v>
      </x:c>
      <x:c r="E11" s="65" t="str">
        <x:v>ruth.jensen1006@bluecurrent.test</x:v>
      </x:c>
      <x:c r="F11" s="65" t="str">
        <x:v>+1 (202) 555-1006</x:v>
      </x:c>
      <x:c r="G11" s="65" t="str">
        <x:v>Australia</x:v>
      </x:c>
      <x:c r="H11" s="65" t="str">
        <x:v>Central</x:v>
      </x:c>
      <x:c r="I11" s="65" t="str">
        <x:v>Referral</x:v>
      </x:c>
      <x:c r="J11" s="65" t="str">
        <x:v>Nonprofit</x:v>
      </x:c>
      <x:c r="K11" s="65" t="str">
        <x:v>Active</x:v>
      </x:c>
      <x:c r="L11" s="66" t="n">
        <x:v>46210</x:v>
      </x:c>
      <x:c r="M11" s="65" t="str">
        <x:v>L. Brooks</x:v>
      </x:c>
      <x:c r="N11" s="67" t="str">
        <x:v>New lead</x:v>
      </x:c>
    </x:row>
    <x:row r="12" ht="21" customHeight="1">
      <x:c r="A12" s="68" t="str">
        <x:v>C-2008</x:v>
      </x:c>
      <x:c r="B12" s="69" t="str">
        <x:v> ETHAN </x:v>
      </x:c>
      <x:c r="C12" s="69" t="str">
        <x:v>  Liu  </x:v>
      </x:c>
      <x:c r="D12" s="69" t="str">
        <x:v>Greenline Market</x:v>
      </x:c>
      <x:c r="E12" s="69" t="str">
        <x:v>ethan.liu1007@greenlinemarket.test</x:v>
      </x:c>
      <x:c r="F12" s="69" t="str">
        <x:v>+1-415-555-1007</x:v>
      </x:c>
      <x:c r="G12" s="69" t="str">
        <x:v>Canada</x:v>
      </x:c>
      <x:c r="H12" s="69" t="str">
        <x:v>International</x:v>
      </x:c>
      <x:c r="I12" s="69" t="str">
        <x:v>Trade show</x:v>
      </x:c>
      <x:c r="J12" s="69" t="str">
        <x:v>Mid-market</x:v>
      </x:c>
      <x:c r="K12" s="69" t="str">
        <x:v>Prospect</x:v>
      </x:c>
      <x:c r="L12" s="70" t="n">
        <x:v>46242</x:v>
      </x:c>
      <x:c r="M12" s="69" t="str">
        <x:v>R. Shah</x:v>
      </x:c>
      <x:c r="N12" s="71" t="str">
        <x:v>Existing contact</x:v>
      </x:c>
    </x:row>
    <x:row r="13" ht="21" customHeight="1">
      <x:c r="A13" s="64" t="str">
        <x:v>C-2009</x:v>
      </x:c>
      <x:c r="B13" s="65" t="str">
        <x:v>ava</x:v>
      </x:c>
      <x:c r="C13" s="65" t="str">
        <x:v>Roy</x:v>
      </x:c>
      <x:c r="D13" s="65" t="str">
        <x:v>Cloudberry Labs</x:v>
      </x:c>
      <x:c r="E13" s="65" t="str">
        <x:v>ava.roy1008@cloudberrylabs.test</x:v>
      </x:c>
      <x:c r="F13" s="65" t="str">
        <x:v>202 555 1008</x:v>
      </x:c>
      <x:c r="G13" s="65" t="str">
        <x:v>India</x:v>
      </x:c>
      <x:c r="H13" s="65" t="str">
        <x:v>South</x:v>
      </x:c>
      <x:c r="I13" s="65" t="str">
        <x:v>Outbound</x:v>
      </x:c>
      <x:c r="J13" s="65" t="str">
        <x:v>Education</x:v>
      </x:c>
      <x:c r="K13" s="65" t="str">
        <x:v>Inactive</x:v>
      </x:c>
      <x:c r="L13" s="66" t="n">
        <x:v>46274</x:v>
      </x:c>
      <x:c r="M13" s="65" t="str">
        <x:v>M. Rivera</x:v>
      </x:c>
      <x:c r="N13" s="67" t="str">
        <x:v>Account update</x:v>
      </x:c>
    </x:row>
    <x:row r="14" ht="21" customHeight="1">
      <x:c r="A14" s="68" t="str">
        <x:v>C-2010</x:v>
      </x:c>
      <x:c r="B14" s="69" t="str">
        <x:v>  Noah  </x:v>
      </x:c>
      <x:c r="C14" s="69" t="str">
        <x:v>Park</x:v>
      </x:c>
      <x:c r="D14" s="69" t="str">
        <x:v>Cobalt Office</x:v>
      </x:c>
      <x:c r="E14" s="69" t="str">
        <x:v>noah.park1009@cobaltoffice.test</x:v>
      </x:c>
      <x:c r="F14" s="69" t="str">
        <x:v>+1 (202) 555-1009</x:v>
      </x:c>
      <x:c r="G14" s="69" t="str">
        <x:v>United Kingdom</x:v>
      </x:c>
      <x:c r="H14" s="69" t="str">
        <x:v>West</x:v>
      </x:c>
      <x:c r="I14" s="69" t="str">
        <x:v>Partner</x:v>
      </x:c>
      <x:c r="J14" s="69" t="str">
        <x:v>Enterprise</x:v>
      </x:c>
      <x:c r="K14" s="69" t="str">
        <x:v>Active</x:v>
      </x:c>
      <x:c r="L14" s="70" t="n">
        <x:v>46032</x:v>
      </x:c>
      <x:c r="M14" s="69" t="str">
        <x:v>K. Evans</x:v>
      </x:c>
      <x:c r="N14" s="71" t="str">
        <x:v>New lead</x:v>
      </x:c>
    </x:row>
    <x:row r="15" ht="21" customHeight="1">
      <x:c r="A15" s="64" t="str">
        <x:v>C-2011</x:v>
      </x:c>
      <x:c r="B15" s="65" t="str">
        <x:v>Sofia</x:v>
      </x:c>
      <x:c r="C15" s="65" t="str">
        <x:v>Alvarez</x:v>
      </x:c>
      <x:c r="D15" s="65" t="str">
        <x:v>Poppy Lane</x:v>
      </x:c>
      <x:c r="E15" s="65" t="str">
        <x:v>sofia.alvarez1010@poppylane.test</x:v>
      </x:c>
      <x:c r="F15" s="65" t="str">
        <x:v>+1-415-555-1010</x:v>
      </x:c>
      <x:c r="G15" s="65" t="str">
        <x:v>United States</x:v>
      </x:c>
      <x:c r="H15" s="65" t="str">
        <x:v>North</x:v>
      </x:c>
      <x:c r="I15" s="65" t="str">
        <x:v>Website</x:v>
      </x:c>
      <x:c r="J15" s="65" t="str">
        <x:v>Small business</x:v>
      </x:c>
      <x:c r="K15" s="65" t="str">
        <x:v>Prospect</x:v>
      </x:c>
      <x:c r="L15" s="66" t="n">
        <x:v>46064</x:v>
      </x:c>
      <x:c r="M15" s="65" t="str">
        <x:v>A. Patel</x:v>
      </x:c>
      <x:c r="N15" s="67" t="str">
        <x:v>Existing contact</x:v>
      </x:c>
    </x:row>
    <x:row r="16" ht="21" customHeight="1">
      <x:c r="A16" s="68" t="str">
        <x:v>C-2012</x:v>
      </x:c>
      <x:c r="B16" s="69" t="str">
        <x:v>Amir</x:v>
      </x:c>
      <x:c r="C16" s="69" t="str">
        <x:v>Wilson</x:v>
      </x:c>
      <x:c r="D16" s="69" t="str">
        <x:v> HARBORLINE FOODS </x:v>
      </x:c>
      <x:c r="E16" s="69" t="str">
        <x:v>amir.wilson1011@harborlinefoods.test</x:v>
      </x:c>
      <x:c r="F16" s="69" t="str">
        <x:v>202 555 1011</x:v>
      </x:c>
      <x:c r="G16" s="69" t="str">
        <x:v>Australia</x:v>
      </x:c>
      <x:c r="H16" s="69" t="str">
        <x:v>Central</x:v>
      </x:c>
      <x:c r="I16" s="69" t="str">
        <x:v>Referral</x:v>
      </x:c>
      <x:c r="J16" s="69" t="str">
        <x:v>Nonprofit</x:v>
      </x:c>
      <x:c r="K16" s="69" t="str">
        <x:v>Inactive</x:v>
      </x:c>
      <x:c r="L16" s="70" t="n">
        <x:v>46093</x:v>
      </x:c>
      <x:c r="M16" s="69" t="str">
        <x:v>L. Brooks</x:v>
      </x:c>
      <x:c r="N16" s="71" t="str">
        <x:v>Account update</x:v>
      </x:c>
    </x:row>
    <x:row r="17" ht="21" customHeight="1">
      <x:c r="A17" s="64" t="str">
        <x:v>C-2013</x:v>
      </x:c>
      <x:c r="B17" s="65" t="str">
        <x:v>Nora</x:v>
      </x:c>
      <x:c r="C17" s="65" t="str">
        <x:v> GREEN </x:v>
      </x:c>
      <x:c r="D17" s="65" t="str">
        <x:v>north bay learning</x:v>
      </x:c>
      <x:c r="E17" s="65" t="str">
        <x:v>nora.green1012@northbaylearning.test</x:v>
      </x:c>
      <x:c r="F17" s="65" t="str">
        <x:v>+1 (202) 555-1012</x:v>
      </x:c>
      <x:c r="G17" s="65" t="str">
        <x:v>Canada</x:v>
      </x:c>
      <x:c r="H17" s="65" t="str">
        <x:v>International</x:v>
      </x:c>
      <x:c r="I17" s="65" t="str">
        <x:v>Trade show</x:v>
      </x:c>
      <x:c r="J17" s="65" t="str">
        <x:v>Mid-market</x:v>
      </x:c>
      <x:c r="K17" s="65" t="str">
        <x:v>Active</x:v>
      </x:c>
      <x:c r="L17" s="66" t="n">
        <x:v>46125</x:v>
      </x:c>
      <x:c r="M17" s="65" t="str">
        <x:v>R. Shah</x:v>
      </x:c>
      <x:c r="N17" s="67" t="str">
        <x:v>New lead</x:v>
      </x:c>
    </x:row>
    <x:row r="18" ht="21" customHeight="1">
      <x:c r="A18" s="68" t="str">
        <x:v>C-2014</x:v>
      </x:c>
      <x:c r="B18" s="69" t="str">
        <x:v>Caleb</x:v>
      </x:c>
      <x:c r="C18" s="69" t="str">
        <x:v>reed</x:v>
      </x:c>
      <x:c r="D18" s="69" t="str">
        <x:v>  Orchard Road  </x:v>
      </x:c>
      <x:c r="E18" s="69" t="str">
        <x:v>caleb.reed1013@orchardroad.test</x:v>
      </x:c>
      <x:c r="F18" s="69" t="str">
        <x:v>+1-415-555-1013</x:v>
      </x:c>
      <x:c r="G18" s="69" t="str">
        <x:v>India</x:v>
      </x:c>
      <x:c r="H18" s="69" t="str">
        <x:v>South</x:v>
      </x:c>
      <x:c r="I18" s="69" t="str">
        <x:v>Outbound</x:v>
      </x:c>
      <x:c r="J18" s="69" t="str">
        <x:v>Education</x:v>
      </x:c>
      <x:c r="K18" s="69" t="str">
        <x:v>Prospect</x:v>
      </x:c>
      <x:c r="L18" s="70" t="n">
        <x:v>46156</x:v>
      </x:c>
      <x:c r="M18" s="69" t="str">
        <x:v>M. Rivera</x:v>
      </x:c>
      <x:c r="N18" s="71" t="str">
        <x:v>Existing contact</x:v>
      </x:c>
    </x:row>
    <x:row r="19" ht="21" customHeight="1">
      <x:c r="A19" s="64" t="str">
        <x:v>C-2015</x:v>
      </x:c>
      <x:c r="B19" s="65" t="str">
        <x:v> ZARA </x:v>
      </x:c>
      <x:c r="C19" s="65" t="str">
        <x:v>  Thompson  </x:v>
      </x:c>
      <x:c r="D19" s="65" t="str">
        <x:v>Pinecone Studio</x:v>
      </x:c>
      <x:c r="E19" s="65" t="str">
        <x:v>zara.thompson1014@pineconestudio.test</x:v>
      </x:c>
      <x:c r="F19" s="65" t="str">
        <x:v>202 555 1014</x:v>
      </x:c>
      <x:c r="G19" s="65" t="str">
        <x:v>United Kingdom</x:v>
      </x:c>
      <x:c r="H19" s="65" t="str">
        <x:v>West</x:v>
      </x:c>
      <x:c r="I19" s="65" t="str">
        <x:v>Partner</x:v>
      </x:c>
      <x:c r="J19" s="65" t="str">
        <x:v>Enterprise</x:v>
      </x:c>
      <x:c r="K19" s="65" t="str">
        <x:v>Inactive</x:v>
      </x:c>
      <x:c r="L19" s="66" t="n">
        <x:v>46188</x:v>
      </x:c>
      <x:c r="M19" s="65" t="str">
        <x:v>K. Evans</x:v>
      </x:c>
      <x:c r="N19" s="67" t="str">
        <x:v>Account update</x:v>
      </x:c>
    </x:row>
    <x:row r="20" ht="21" customHeight="1">
      <x:c r="A20" s="68" t="str">
        <x:v>C-2016</x:v>
      </x:c>
      <x:c r="B20" s="69" t="str">
        <x:v>henry</x:v>
      </x:c>
      <x:c r="C20" s="69" t="str">
        <x:v>Adams</x:v>
      </x:c>
      <x:c r="D20" s="69" t="str">
        <x:v>Summit Learning</x:v>
      </x:c>
      <x:c r="E20" s="69" t="str">
        <x:v>henry.adams1015@summitlearning.test</x:v>
      </x:c>
      <x:c r="F20" s="69" t="str">
        <x:v>+1 (202) 555-1015</x:v>
      </x:c>
      <x:c r="G20" s="69" t="str">
        <x:v>United States</x:v>
      </x:c>
      <x:c r="H20" s="69" t="str">
        <x:v>North</x:v>
      </x:c>
      <x:c r="I20" s="69" t="str">
        <x:v>Website</x:v>
      </x:c>
      <x:c r="J20" s="69" t="str">
        <x:v>Small business</x:v>
      </x:c>
      <x:c r="K20" s="69" t="str">
        <x:v>Active</x:v>
      </x:c>
      <x:c r="L20" s="70" t="n">
        <x:v>46219</x:v>
      </x:c>
      <x:c r="M20" s="69" t="str">
        <x:v>A. Patel</x:v>
      </x:c>
      <x:c r="N20" s="71" t="str">
        <x:v>New lead</x:v>
      </x:c>
    </x:row>
    <x:row r="21" ht="21" customHeight="1">
      <x:c r="A21" s="64" t="str">
        <x:v>C-2017</x:v>
      </x:c>
      <x:c r="B21" s="65" t="str">
        <x:v>  Ivy  </x:v>
      </x:c>
      <x:c r="C21" s="65" t="str">
        <x:v>Martin</x:v>
      </x:c>
      <x:c r="D21" s="65" t="str">
        <x:v>Lumen Works</x:v>
      </x:c>
      <x:c r="E21" s="65" t="str">
        <x:v>ivy.martin1016@lumenworks.test</x:v>
      </x:c>
      <x:c r="F21" s="65" t="str">
        <x:v>+1-415-555-1016</x:v>
      </x:c>
      <x:c r="G21" s="65" t="str">
        <x:v>Australia</x:v>
      </x:c>
      <x:c r="H21" s="65" t="str">
        <x:v>Central</x:v>
      </x:c>
      <x:c r="I21" s="65" t="str">
        <x:v>Referral</x:v>
      </x:c>
      <x:c r="J21" s="65" t="str">
        <x:v>Nonprofit</x:v>
      </x:c>
      <x:c r="K21" s="65" t="str">
        <x:v>Prospect</x:v>
      </x:c>
      <x:c r="L21" s="66" t="n">
        <x:v>46251</x:v>
      </x:c>
      <x:c r="M21" s="65" t="str">
        <x:v>L. Brooks</x:v>
      </x:c>
      <x:c r="N21" s="67" t="str">
        <x:v>Existing contact</x:v>
      </x:c>
    </x:row>
    <x:row r="22" ht="21" customHeight="1">
      <x:c r="A22" s="68" t="str">
        <x:v>C-2018</x:v>
      </x:c>
      <x:c r="B22" s="69" t="str">
        <x:v>Lucas</x:v>
      </x:c>
      <x:c r="C22" s="69" t="str">
        <x:v>Diaz</x:v>
      </x:c>
      <x:c r="D22" s="69" t="str">
        <x:v>Red Kite Market</x:v>
      </x:c>
      <x:c r="E22" s="69" t="str">
        <x:v>nora@invalid</x:v>
      </x:c>
      <x:c r="F22" s="69" t="str">
        <x:v>202 555 1017</x:v>
      </x:c>
      <x:c r="G22" s="69" t="str">
        <x:v>Canada</x:v>
      </x:c>
      <x:c r="H22" s="69" t="str">
        <x:v>International</x:v>
      </x:c>
      <x:c r="I22" s="69" t="str">
        <x:v>Trade show</x:v>
      </x:c>
      <x:c r="J22" s="69" t="str">
        <x:v>Mid-market</x:v>
      </x:c>
      <x:c r="K22" s="69" t="str">
        <x:v>Inactive</x:v>
      </x:c>
      <x:c r="L22" s="70" t="n">
        <x:v>46283</x:v>
      </x:c>
      <x:c r="M22" s="69" t="str">
        <x:v>R. Shah</x:v>
      </x:c>
      <x:c r="N22" s="71" t="str">
        <x:v>Account update</x:v>
      </x:c>
    </x:row>
    <x:row r="23" ht="21" customHeight="1">
      <x:c r="A23" s="64" t="str">
        <x:v>C-2019</x:v>
      </x:c>
      <x:c r="B23" s="65" t="str">
        <x:v>Emma</x:v>
      </x:c>
      <x:c r="C23" s="65" t="str">
        <x:v>Okafor</x:v>
      </x:c>
      <x:c r="D23" s="65" t="str">
        <x:v> MOSS &amp; MORROW </x:v>
      </x:c>
      <x:c r="E23" s="65" t="str">
        <x:v>emma.okafor1018@mossmorrow.test</x:v>
      </x:c>
      <x:c r="F23" s="65" t="str">
        <x:v>+1 (202) 555-1018</x:v>
      </x:c>
      <x:c r="G23" s="65" t="str">
        <x:v>India</x:v>
      </x:c>
      <x:c r="H23" s="65" t="str">
        <x:v>South</x:v>
      </x:c>
      <x:c r="I23" s="65" t="str">
        <x:v>Outbound</x:v>
      </x:c>
      <x:c r="J23" s="65" t="str">
        <x:v>Education</x:v>
      </x:c>
      <x:c r="K23" s="65" t="str">
        <x:v>Active</x:v>
      </x:c>
      <x:c r="L23" s="66" t="n">
        <x:v>46041</x:v>
      </x:c>
      <x:c r="M23" s="65" t="str">
        <x:v>M. Rivera</x:v>
      </x:c>
      <x:c r="N23" s="67" t="str">
        <x:v>New lead</x:v>
      </x:c>
    </x:row>
    <x:row r="24" ht="21" customHeight="1">
      <x:c r="A24" s="68" t="str">
        <x:v>C-2020</x:v>
      </x:c>
      <x:c r="B24" s="69" t="str">
        <x:v>Arjun</x:v>
      </x:c>
      <x:c r="C24" s="69" t="str">
        <x:v> WRIGHT </x:v>
      </x:c>
      <x:c r="D24" s="69" t="str">
        <x:v>bridgewell services</x:v>
      </x:c>
      <x:c r="E24" s="69" t="str">
        <x:v>arjun.wright1019@bridgewellservices.test</x:v>
      </x:c>
      <x:c r="F24" s="69" t="str">
        <x:v>+1-415-555-1019</x:v>
      </x:c>
      <x:c r="G24" s="69" t="str">
        <x:v>United Kingdom</x:v>
      </x:c>
      <x:c r="H24" s="69" t="str">
        <x:v>West</x:v>
      </x:c>
      <x:c r="I24" s="69" t="str">
        <x:v>Partner</x:v>
      </x:c>
      <x:c r="J24" s="69" t="str">
        <x:v>Enterprise</x:v>
      </x:c>
      <x:c r="K24" s="69" t="str">
        <x:v>Prospect</x:v>
      </x:c>
      <x:c r="L24" s="70" t="n">
        <x:v>46073</x:v>
      </x:c>
      <x:c r="M24" s="69" t="str">
        <x:v>K. Evans</x:v>
      </x:c>
      <x:c r="N24" s="71" t="str">
        <x:v>Existing contact</x:v>
      </x:c>
    </x:row>
    <x:row r="25" ht="21" customHeight="1">
      <x:c r="A25" s="64" t="str">
        <x:v>C-2021</x:v>
      </x:c>
      <x:c r="B25" s="65" t="str">
        <x:v>Grace</x:v>
      </x:c>
      <x:c r="C25" s="65" t="str">
        <x:v>fox</x:v>
      </x:c>
      <x:c r="D25" s="65" t="str">
        <x:v>  Atlas Paper  </x:v>
      </x:c>
      <x:c r="E25" s="65" t="str">
        <x:v>grace.fox1020@atlaspaper.test</x:v>
      </x:c>
      <x:c r="F25" s="65" t="str">
        <x:v>202 555 1020</x:v>
      </x:c>
      <x:c r="G25" s="65" t="str">
        <x:v>United States</x:v>
      </x:c>
      <x:c r="H25" s="65" t="str">
        <x:v>North</x:v>
      </x:c>
      <x:c r="I25" s="65" t="str">
        <x:v>Website</x:v>
      </x:c>
      <x:c r="J25" s="65" t="str">
        <x:v>Small business</x:v>
      </x:c>
      <x:c r="K25" s="65" t="str">
        <x:v>Inactive</x:v>
      </x:c>
      <x:c r="L25" s="66" t="n">
        <x:v>46102</x:v>
      </x:c>
      <x:c r="M25" s="65" t="str">
        <x:v>A. Patel</x:v>
      </x:c>
      <x:c r="N25" s="67" t="str">
        <x:v>Account update</x:v>
      </x:c>
    </x:row>
    <x:row r="26" ht="21" customHeight="1">
      <x:c r="A26" s="68" t="str">
        <x:v>C-2022</x:v>
      </x:c>
      <x:c r="B26" s="69" t="str">
        <x:v> DANIEL </x:v>
      </x:c>
      <x:c r="C26" s="69" t="str">
        <x:v>  Patel  </x:v>
      </x:c>
      <x:c r="D26" s="69" t="str">
        <x:v>Evergreen Kitchen</x:v>
      </x:c>
      <x:c r="E26" s="69" t="str">
        <x:v>daniel.patel1021@evergreenkitchen.test</x:v>
      </x:c>
      <x:c r="F26" s="69" t="str">
        <x:v>+1 (202) 555-1021</x:v>
      </x:c>
      <x:c r="G26" s="69" t="str">
        <x:v>Australia</x:v>
      </x:c>
      <x:c r="H26" s="69" t="str">
        <x:v>Central</x:v>
      </x:c>
      <x:c r="I26" s="69" t="str">
        <x:v>Referral</x:v>
      </x:c>
      <x:c r="J26" s="69" t="str">
        <x:v>Nonprofit</x:v>
      </x:c>
      <x:c r="K26" s="69" t="str">
        <x:v>Active</x:v>
      </x:c>
      <x:c r="L26" s="70" t="n">
        <x:v>46134</x:v>
      </x:c>
      <x:c r="M26" s="69" t="str">
        <x:v>L. Brooks</x:v>
      </x:c>
      <x:c r="N26" s="71" t="str">
        <x:v>New lead</x:v>
      </x:c>
    </x:row>
    <x:row r="27" ht="21" customHeight="1">
      <x:c r="A27" s="64" t="str">
        <x:v>C-2023</x:v>
      </x:c>
      <x:c r="B27" s="65" t="str">
        <x:v>freya</x:v>
      </x:c>
      <x:c r="C27" s="65" t="str">
        <x:v>Haddad</x:v>
      </x:c>
      <x:c r="D27" s="65" t="str">
        <x:v>Cedar &amp; Finch</x:v>
      </x:c>
      <x:c r="E27" s="65" t="str">
        <x:v>freya.haddad1022@cedarfinch.test</x:v>
      </x:c>
      <x:c r="F27" s="65" t="str">
        <x:v>+1-415-555-1022</x:v>
      </x:c>
      <x:c r="G27" s="65" t="str">
        <x:v>Canada</x:v>
      </x:c>
      <x:c r="H27" s="65" t="str">
        <x:v>International</x:v>
      </x:c>
      <x:c r="I27" s="65" t="str">
        <x:v>Trade show</x:v>
      </x:c>
      <x:c r="J27" s="65" t="str">
        <x:v>Mid-market</x:v>
      </x:c>
      <x:c r="K27" s="65" t="str">
        <x:v>Prospect</x:v>
      </x:c>
      <x:c r="L27" s="66" t="n">
        <x:v>46165</x:v>
      </x:c>
      <x:c r="M27" s="65" t="str">
        <x:v>R. Shah</x:v>
      </x:c>
      <x:c r="N27" s="67" t="str">
        <x:v>Existing contact</x:v>
      </x:c>
    </x:row>
    <x:row r="28" ht="21" customHeight="1">
      <x:c r="A28" s="68" t="str">
        <x:v>C-2024</x:v>
      </x:c>
      <x:c r="B28" s="69" t="str">
        <x:v>  Theo  </x:v>
      </x:c>
      <x:c r="C28" s="69" t="str">
        <x:v>Khan</x:v>
      </x:c>
      <x:c r="D28" s="69" t="str">
        <x:v>Fieldstone Home</x:v>
      </x:c>
      <x:c r="E28" s="69" t="str">
        <x:v>theo.khan1023@fieldstonehome.test</x:v>
      </x:c>
      <x:c r="F28" s="69" t="str">
        <x:v>202 555 1023</x:v>
      </x:c>
      <x:c r="G28" s="69" t="str">
        <x:v>India</x:v>
      </x:c>
      <x:c r="H28" s="69" t="str">
        <x:v>South</x:v>
      </x:c>
      <x:c r="I28" s="69" t="str">
        <x:v>Outbound</x:v>
      </x:c>
      <x:c r="J28" s="69" t="str">
        <x:v>Education</x:v>
      </x:c>
      <x:c r="K28" s="69" t="str">
        <x:v>Inactive</x:v>
      </x:c>
      <x:c r="L28" s="70" t="n">
        <x:v>46197</x:v>
      </x:c>
      <x:c r="M28" s="69" t="str">
        <x:v>M. Rivera</x:v>
      </x:c>
      <x:c r="N28" s="71" t="str">
        <x:v>Account update</x:v>
      </x:c>
    </x:row>
    <x:row r="29" ht="21" customHeight="1">
      <x:c r="A29" s="64" t="str">
        <x:v>C-2025</x:v>
      </x:c>
      <x:c r="B29" s="65" t="str">
        <x:v>Anika</x:v>
      </x:c>
      <x:c r="C29" s="65" t="str">
        <x:v>Mehta</x:v>
      </x:c>
      <x:c r="D29" s="65" t="str">
        <x:v>Maple Row</x:v>
      </x:c>
      <x:c r="E29" s="65" t="str">
        <x:v>anika.mehta1024@maplerow.test</x:v>
      </x:c>
      <x:c r="F29" s="65" t="str">
        <x:v>+1 (202) 555-1024</x:v>
      </x:c>
      <x:c r="G29" s="65" t="str">
        <x:v>United Kingdom</x:v>
      </x:c>
      <x:c r="H29" s="65" t="str">
        <x:v>West</x:v>
      </x:c>
      <x:c r="I29" s="65" t="str">
        <x:v>Partner</x:v>
      </x:c>
      <x:c r="J29" s="65" t="str">
        <x:v>Enterprise</x:v>
      </x:c>
      <x:c r="K29" s="65" t="str">
        <x:v>Active</x:v>
      </x:c>
      <x:c r="L29" s="66" t="n">
        <x:v>46228</x:v>
      </x:c>
      <x:c r="M29" s="65" t="str">
        <x:v>K. Evans</x:v>
      </x:c>
      <x:c r="N29" s="67" t="str">
        <x:v>New lead</x:v>
      </x:c>
    </x:row>
    <x:row r="30" ht="21" customHeight="1">
      <x:c r="A30" s="68" t="str">
        <x:v>C-2026</x:v>
      </x:c>
      <x:c r="B30" s="69" t="str">
        <x:v>Miles</x:v>
      </x:c>
      <x:c r="C30" s="69" t="str">
        <x:v>Bennett</x:v>
      </x:c>
      <x:c r="D30" s="69" t="str">
        <x:v> SILVER BIRCH CO </x:v>
      </x:c>
      <x:c r="E30" s="69" t="str">
        <x:v>miles.bennett1025@silverbirchco.test</x:v>
      </x:c>
      <x:c r="F30" s="69" t="str">
        <x:v>+1-415-555-1025</x:v>
      </x:c>
      <x:c r="G30" s="69" t="str">
        <x:v>United States</x:v>
      </x:c>
      <x:c r="H30" s="69" t="str">
        <x:v>North</x:v>
      </x:c>
      <x:c r="I30" s="69" t="str">
        <x:v>Website</x:v>
      </x:c>
      <x:c r="J30" s="69" t="str">
        <x:v>Small business</x:v>
      </x:c>
      <x:c r="K30" s="69" t="str">
        <x:v>Prospect</x:v>
      </x:c>
      <x:c r="L30" s="70" t="n">
        <x:v>46260</x:v>
      </x:c>
      <x:c r="M30" s="69" t="str">
        <x:v>A. Patel</x:v>
      </x:c>
      <x:c r="N30" s="71" t="str">
        <x:v>Existing contact</x:v>
      </x:c>
    </x:row>
    <x:row r="31" ht="21" customHeight="1">
      <x:c r="A31" s="64" t="str">
        <x:v>C-2027</x:v>
      </x:c>
      <x:c r="B31" s="65" t="str">
        <x:v>Talia</x:v>
      </x:c>
      <x:c r="C31" s="65" t="str">
        <x:v> NAIR </x:v>
      </x:c>
      <x:c r="D31" s="65" t="str">
        <x:v>east bay books</x:v>
      </x:c>
      <x:c r="E31" s="65" t="str">
        <x:v>talia.nair1026@eastbaybooks.test</x:v>
      </x:c>
      <x:c r="F31" s="65" t="str">
        <x:v>12-45</x:v>
      </x:c>
      <x:c r="G31" s="65" t="str">
        <x:v>Australia</x:v>
      </x:c>
      <x:c r="H31" s="65" t="str">
        <x:v>Central</x:v>
      </x:c>
      <x:c r="I31" s="65" t="str">
        <x:v>Referral</x:v>
      </x:c>
      <x:c r="J31" s="65" t="str">
        <x:v>Nonprofit</x:v>
      </x:c>
      <x:c r="K31" s="65" t="str">
        <x:v>Inactive</x:v>
      </x:c>
      <x:c r="L31" s="66" t="n">
        <x:v>46292</x:v>
      </x:c>
      <x:c r="M31" s="65" t="str">
        <x:v>L. Brooks</x:v>
      </x:c>
      <x:c r="N31" s="67" t="str">
        <x:v>Account update</x:v>
      </x:c>
    </x:row>
    <x:row r="32" ht="21" customHeight="1">
      <x:c r="A32" s="68" t="str">
        <x:v>C-2028</x:v>
      </x:c>
      <x:c r="B32" s="69" t="str">
        <x:v>Ravi</x:v>
      </x:c>
      <x:c r="C32" s="69" t="str">
        <x:v>kim</x:v>
      </x:c>
      <x:c r="D32" s="69" t="str">
        <x:v>  Tandem Outfitters  </x:v>
      </x:c>
      <x:c r="E32" s="69" t="str">
        <x:v>ravi.kim1027@tandemoutfitters.test</x:v>
      </x:c>
      <x:c r="F32" s="69" t="str">
        <x:v>+1 (202) 555-1027</x:v>
      </x:c>
      <x:c r="G32" s="69" t="str">
        <x:v>Canada</x:v>
      </x:c>
      <x:c r="H32" s="69" t="str">
        <x:v>International</x:v>
      </x:c>
      <x:c r="I32" s="69" t="str">
        <x:v>Trade show</x:v>
      </x:c>
      <x:c r="J32" s="69" t="str">
        <x:v>Mid-market</x:v>
      </x:c>
      <x:c r="K32" s="69" t="str">
        <x:v>Active</x:v>
      </x:c>
      <x:c r="L32" s="70" t="n">
        <x:v>46023</x:v>
      </x:c>
      <x:c r="M32" s="69" t="str">
        <x:v>R. Shah</x:v>
      </x:c>
      <x:c r="N32" s="71" t="str">
        <x:v>New lead</x:v>
      </x:c>
    </x:row>
    <x:row r="33" ht="21" customHeight="1">
      <x:c r="A33" s="64" t="str">
        <x:v>C-2029</x:v>
      </x:c>
      <x:c r="B33" s="65" t="str">
        <x:v> ELENA </x:v>
      </x:c>
      <x:c r="C33" s="65" t="str">
        <x:v>  Brown  </x:v>
      </x:c>
      <x:c r="D33" s="65" t="str">
        <x:v>Willow &amp; West</x:v>
      </x:c>
      <x:c r="E33" s="65" t="str">
        <x:v>elena.brown1028@willowwest.test</x:v>
      </x:c>
      <x:c r="F33" s="65" t="str">
        <x:v>+1-415-555-1028</x:v>
      </x:c>
      <x:c r="G33" s="65" t="str">
        <x:v>India</x:v>
      </x:c>
      <x:c r="H33" s="65" t="str">
        <x:v>South</x:v>
      </x:c>
      <x:c r="I33" s="65" t="str">
        <x:v>Outbound</x:v>
      </x:c>
      <x:c r="J33" s="65" t="str">
        <x:v>Education</x:v>
      </x:c>
      <x:c r="K33" s="65" t="str">
        <x:v>Prospect</x:v>
      </x:c>
      <x:c r="L33" s="66" t="n">
        <x:v>46055</x:v>
      </x:c>
      <x:c r="M33" s="65" t="str">
        <x:v>M. Rivera</x:v>
      </x:c>
      <x:c r="N33" s="67" t="str">
        <x:v>Existing contact</x:v>
      </x:c>
    </x:row>
    <x:row r="34" ht="21" customHeight="1">
      <x:c r="A34" s="68" t="str">
        <x:v>C-2030</x:v>
      </x:c>
      <x:c r="B34" s="69" t="str">
        <x:v>sam</x:v>
      </x:c>
      <x:c r="C34" s="69" t="str">
        <x:v>Shah</x:v>
      </x:c>
      <x:c r="D34" s="69" t="str">
        <x:v>Solstice Supply</x:v>
      </x:c>
      <x:c r="E34" s="69" t="str">
        <x:v>sam.shah1029@solsticesupply.test</x:v>
      </x:c>
      <x:c r="F34" s="69" t="str">
        <x:v>202 555 1029</x:v>
      </x:c>
      <x:c r="G34" s="69" t="str">
        <x:v>United Kingdom</x:v>
      </x:c>
      <x:c r="H34" s="69" t="str">
        <x:v>West</x:v>
      </x:c>
      <x:c r="I34" s="69" t="str">
        <x:v>Partner</x:v>
      </x:c>
      <x:c r="J34" s="69" t="str">
        <x:v>Enterprise</x:v>
      </x:c>
      <x:c r="K34" s="69" t="str">
        <x:v>Inactive</x:v>
      </x:c>
      <x:c r="L34" s="70" t="n">
        <x:v>46084</x:v>
      </x:c>
      <x:c r="M34" s="69" t="str">
        <x:v>K. Evans</x:v>
      </x:c>
      <x:c r="N34" s="71" t="str">
        <x:v>Account update</x:v>
      </x:c>
    </x:row>
    <x:row r="35" ht="21" customHeight="1">
      <x:c r="A35" s="64" t="str">
        <x:v>C-2031</x:v>
      </x:c>
      <x:c r="B35" s="65" t="str">
        <x:v>  Maya  </x:v>
      </x:c>
      <x:c r="C35" s="65" t="str">
        <x:v>Chen</x:v>
      </x:c>
      <x:c r="D35" s="65" t="str">
        <x:v>Northstar Supply</x:v>
      </x:c>
      <x:c r="E35" s="65" t="str">
        <x:v>maya.chen1030@northstarsupply.test</x:v>
      </x:c>
      <x:c r="F35" s="65" t="str">
        <x:v>+1 (202) 555-1030</x:v>
      </x:c>
      <x:c r="G35" s="65" t="str">
        <x:v>United States</x:v>
      </x:c>
      <x:c r="H35" s="65" t="str">
        <x:v>North</x:v>
      </x:c>
      <x:c r="I35" s="65" t="str">
        <x:v>Website</x:v>
      </x:c>
      <x:c r="J35" s="65" t="str">
        <x:v>Small business</x:v>
      </x:c>
      <x:c r="K35" s="65" t="str">
        <x:v>Active</x:v>
      </x:c>
      <x:c r="L35" s="66" t="n">
        <x:v>46116</x:v>
      </x:c>
      <x:c r="M35" s="65" t="str">
        <x:v>A. Patel</x:v>
      </x:c>
      <x:c r="N35" s="67" t="str">
        <x:v>New lead</x:v>
      </x:c>
    </x:row>
    <x:row r="36" ht="21" customHeight="1">
      <x:c r="A36" s="68" t="str">
        <x:v>C-2001</x:v>
      </x:c>
      <x:c r="B36" s="69" t="str">
        <x:v>Jonah</x:v>
      </x:c>
      <x:c r="C36" s="69" t="str">
        <x:v>Cole</x:v>
      </x:c>
      <x:c r="D36" s="69" t="str">
        <x:v>Meridian Goods</x:v>
      </x:c>
      <x:c r="E36" s="69" t="str">
        <x:v>jonah.cole1031@meridiangoods.test</x:v>
      </x:c>
      <x:c r="F36" s="69" t="str">
        <x:v>+1-415-555-1031</x:v>
      </x:c>
      <x:c r="G36" s="69" t="str">
        <x:v>Australia</x:v>
      </x:c>
      <x:c r="H36" s="69" t="str">
        <x:v>Central</x:v>
      </x:c>
      <x:c r="I36" s="69" t="str">
        <x:v>Referral</x:v>
      </x:c>
      <x:c r="J36" s="69" t="str">
        <x:v>Nonprofit</x:v>
      </x:c>
      <x:c r="K36" s="69" t="str">
        <x:v>Prospect</x:v>
      </x:c>
      <x:c r="L36" s="70" t="n">
        <x:v>46147</x:v>
      </x:c>
      <x:c r="M36" s="69" t="str">
        <x:v>L. Brooks</x:v>
      </x:c>
      <x:c r="N36" s="71" t="str">
        <x:v>Existing contact</x:v>
      </x:c>
    </x:row>
    <x:row r="37" ht="21" customHeight="1">
      <x:c r="A37" s="64" t="str">
        <x:v>C-2033</x:v>
      </x:c>
      <x:c r="B37" s="65" t="str">
        <x:v>Priya</x:v>
      </x:c>
      <x:c r="C37" s="65" t="str">
        <x:v>Mahmood</x:v>
      </x:c>
      <x:c r="D37" s="65" t="str">
        <x:v> SUNBEAM STATIONERY </x:v>
      </x:c>
      <x:c r="E37" s="65" t="str">
        <x:v>priya.mahmood1032@sunbeamstationery.test</x:v>
      </x:c>
      <x:c r="F37" s="65" t="str">
        <x:v>202 555 1032</x:v>
      </x:c>
      <x:c r="G37" s="65" t="str">
        <x:v>Canada</x:v>
      </x:c>
      <x:c r="H37" s="65" t="str">
        <x:v>International</x:v>
      </x:c>
      <x:c r="I37" s="65" t="str">
        <x:v>Trade show</x:v>
      </x:c>
      <x:c r="J37" s="65" t="str">
        <x:v>Mid-market</x:v>
      </x:c>
      <x:c r="K37" s="65" t="str">
        <x:v>Inactive</x:v>
      </x:c>
      <x:c r="L37" s="66" t="n">
        <x:v>46179</x:v>
      </x:c>
      <x:c r="M37" s="65" t="str">
        <x:v>R. Shah</x:v>
      </x:c>
      <x:c r="N37" s="67" t="str">
        <x:v>Account update</x:v>
      </x:c>
    </x:row>
    <x:row r="38" ht="21" customHeight="1">
      <x:c r="A38" s="68" t="str">
        <x:v>C-2034</x:v>
      </x:c>
      <x:c r="B38" s="69" t="str">
        <x:v>Owen</x:v>
      </x:c>
      <x:c r="C38" s="69" t="str">
        <x:v> OLSEN </x:v>
      </x:c>
      <x:c r="D38" s="69" t="str">
        <x:v>juniper retail</x:v>
      </x:c>
      <x:c r="E38" s="69" t="str">
        <x:v>owen.olsen1033@juniperretail.test</x:v>
      </x:c>
      <x:c r="F38" s="69" t="str">
        <x:v>+1 (202) 555-1033</x:v>
      </x:c>
      <x:c r="G38" s="69" t="str">
        <x:v>India</x:v>
      </x:c>
      <x:c r="H38" s="69" t="str">
        <x:v>South</x:v>
      </x:c>
      <x:c r="I38" s="69" t="str">
        <x:v>Outbound</x:v>
      </x:c>
      <x:c r="J38" s="69" t="str">
        <x:v>Education</x:v>
      </x:c>
      <x:c r="K38" s="69" t="str">
        <x:v>Active</x:v>
      </x:c>
      <x:c r="L38" s="70" t="n">
        <x:v>46210</x:v>
      </x:c>
      <x:c r="M38" s="69" t="str">
        <x:v>M. Rivera</x:v>
      </x:c>
      <x:c r="N38" s="71" t="str">
        <x:v>New lead</x:v>
      </x:c>
    </x:row>
    <x:row r="39" ht="21" customHeight="1">
      <x:c r="A39" s="64" t="str">
        <x:v>C-2035</x:v>
      </x:c>
      <x:c r="B39" s="65" t="str">
        <x:v>Leila</x:v>
      </x:c>
      <x:c r="C39" s="65" t="str">
        <x:v>clark</x:v>
      </x:c>
      <x:c r="D39" s="65" t="str">
        <x:v>  Brightwell Design  </x:v>
      </x:c>
      <x:c r="E39" s="65" t="str">
        <x:v>leila.clark1034@brightwelldesign.test</x:v>
      </x:c>
      <x:c r="F39" s="65" t="str">
        <x:v>+1-415-555-1034</x:v>
      </x:c>
      <x:c r="G39" s="65" t="str">
        <x:v>United Kingdom</x:v>
      </x:c>
      <x:c r="H39" s="65" t="str">
        <x:v>West</x:v>
      </x:c>
      <x:c r="I39" s="65" t="str">
        <x:v>Partner</x:v>
      </x:c>
      <x:c r="J39" s="65" t="str">
        <x:v>Enterprise</x:v>
      </x:c>
      <x:c r="K39" s="65" t="str">
        <x:v>Prospect</x:v>
      </x:c>
      <x:c r="L39" s="66" t="n">
        <x:v>46242</x:v>
      </x:c>
      <x:c r="M39" s="65" t="str">
        <x:v>K. Evans</x:v>
      </x:c>
      <x:c r="N39" s="67" t="str">
        <x:v>Existing contact</x:v>
      </x:c>
    </x:row>
    <x:row r="40" ht="21" customHeight="1">
      <x:c r="A40" s="68" t="str">
        <x:v>C-2036</x:v>
      </x:c>
      <x:c r="B40" s="69" t="str"/>
      <x:c r="C40" s="69" t="str">
        <x:v>  Silva  </x:v>
      </x:c>
      <x:c r="D40" s="69" t="str">
        <x:v>Granite Grove</x:v>
      </x:c>
      <x:c r="E40" s="69" t="str">
        <x:v>mateo.silva1035@granitegrove.test</x:v>
      </x:c>
      <x:c r="F40" s="69" t="str">
        <x:v>202 555 1035</x:v>
      </x:c>
      <x:c r="G40" s="69" t="str">
        <x:v>United States</x:v>
      </x:c>
      <x:c r="H40" s="69" t="str">
        <x:v>North</x:v>
      </x:c>
      <x:c r="I40" s="69" t="str">
        <x:v>Website</x:v>
      </x:c>
      <x:c r="J40" s="69" t="str">
        <x:v>Small business</x:v>
      </x:c>
      <x:c r="K40" s="69" t="str">
        <x:v>Inactive</x:v>
      </x:c>
      <x:c r="L40" s="70" t="n">
        <x:v>46274</x:v>
      </x:c>
      <x:c r="M40" s="69" t="str">
        <x:v>A. Patel</x:v>
      </x:c>
      <x:c r="N40" s="71" t="str">
        <x:v>Account update</x:v>
      </x:c>
    </x:row>
    <x:row r="41" ht="21" customHeight="1">
      <x:c r="A41" s="64" t="str">
        <x:v>C-2037</x:v>
      </x:c>
      <x:c r="B41" s="65" t="str">
        <x:v>ruth</x:v>
      </x:c>
      <x:c r="C41" s="65" t="str">
        <x:v>Jensen</x:v>
      </x:c>
      <x:c r="D41" s="65" t="str">
        <x:v>Blue Current</x:v>
      </x:c>
      <x:c r="E41" s="65" t="str">
        <x:v>ruth.jensen1036@bluecurrent.test</x:v>
      </x:c>
      <x:c r="F41" s="65" t="str">
        <x:v>+1 (202) 555-1036</x:v>
      </x:c>
      <x:c r="G41" s="65" t="str">
        <x:v>Australia</x:v>
      </x:c>
      <x:c r="H41" s="65" t="str">
        <x:v>Central</x:v>
      </x:c>
      <x:c r="I41" s="65" t="str">
        <x:v>Referral</x:v>
      </x:c>
      <x:c r="J41" s="65" t="str">
        <x:v>Nonprofit</x:v>
      </x:c>
      <x:c r="K41" s="65" t="str">
        <x:v>Active</x:v>
      </x:c>
      <x:c r="L41" s="66" t="n">
        <x:v>46032</x:v>
      </x:c>
      <x:c r="M41" s="65" t="str">
        <x:v>L. Brooks</x:v>
      </x:c>
      <x:c r="N41" s="67" t="str">
        <x:v>New lead</x:v>
      </x:c>
    </x:row>
    <x:row r="42" ht="21" customHeight="1">
      <x:c r="A42" s="68" t="str">
        <x:v>C-2038</x:v>
      </x:c>
      <x:c r="B42" s="69" t="str">
        <x:v>  Ethan  </x:v>
      </x:c>
      <x:c r="C42" s="69" t="str">
        <x:v>Liu</x:v>
      </x:c>
      <x:c r="D42" s="69" t="str">
        <x:v>Greenline Market</x:v>
      </x:c>
      <x:c r="E42" s="69" t="str">
        <x:v>ethan.liu1037@greenlinemarket.test</x:v>
      </x:c>
      <x:c r="F42" s="69" t="str">
        <x:v>+1-415-555-1037</x:v>
      </x:c>
      <x:c r="G42" s="69" t="str">
        <x:v>Canada</x:v>
      </x:c>
      <x:c r="H42" s="69" t="str">
        <x:v>International</x:v>
      </x:c>
      <x:c r="I42" s="69" t="str">
        <x:v>Trade show</x:v>
      </x:c>
      <x:c r="J42" s="69" t="str">
        <x:v>Mid-market</x:v>
      </x:c>
      <x:c r="K42" s="69" t="str">
        <x:v>Prospect</x:v>
      </x:c>
      <x:c r="L42" s="70" t="n">
        <x:v>46064</x:v>
      </x:c>
      <x:c r="M42" s="69" t="str">
        <x:v>R. Shah</x:v>
      </x:c>
      <x:c r="N42" s="71" t="str">
        <x:v>Existing contact</x:v>
      </x:c>
    </x:row>
    <x:row r="43" ht="21" customHeight="1">
      <x:c r="A43" s="64" t="str">
        <x:v>C-2039</x:v>
      </x:c>
      <x:c r="B43" s="65" t="str">
        <x:v>Ava</x:v>
      </x:c>
      <x:c r="C43" s="65" t="str">
        <x:v>Roy</x:v>
      </x:c>
      <x:c r="D43" s="65" t="str">
        <x:v>Cloudberry Labs</x:v>
      </x:c>
      <x:c r="E43" s="65" t="str">
        <x:v>ava.roy1038@cloudberrylabs.test</x:v>
      </x:c>
      <x:c r="F43" s="65" t="str">
        <x:v>202 555 1038</x:v>
      </x:c>
      <x:c r="G43" s="65" t="str">
        <x:v>India</x:v>
      </x:c>
      <x:c r="H43" s="65" t="str">
        <x:v>South</x:v>
      </x:c>
      <x:c r="I43" s="65" t="str">
        <x:v>Outbound</x:v>
      </x:c>
      <x:c r="J43" s="65" t="str">
        <x:v>Education</x:v>
      </x:c>
      <x:c r="K43" s="65" t="str">
        <x:v>Inactive</x:v>
      </x:c>
      <x:c r="L43" s="66" t="n">
        <x:v>46093</x:v>
      </x:c>
      <x:c r="M43" s="65" t="str">
        <x:v>M. Rivera</x:v>
      </x:c>
      <x:c r="N43" s="67" t="str">
        <x:v>Account update</x:v>
      </x:c>
    </x:row>
    <x:row r="44" ht="21" customHeight="1">
      <x:c r="A44" s="68" t="str">
        <x:v>C-2040</x:v>
      </x:c>
      <x:c r="B44" s="69" t="str">
        <x:v>Noah</x:v>
      </x:c>
      <x:c r="C44" s="69" t="str">
        <x:v>Park</x:v>
      </x:c>
      <x:c r="D44" s="69" t="str">
        <x:v> COBALT OFFICE </x:v>
      </x:c>
      <x:c r="E44" s="69" t="str">
        <x:v>noah.park1039@cobaltoffice.test</x:v>
      </x:c>
      <x:c r="F44" s="69" t="str">
        <x:v>+1 (202) 555-1039</x:v>
      </x:c>
      <x:c r="G44" s="69" t="str">
        <x:v>United Kingdom</x:v>
      </x:c>
      <x:c r="H44" s="69" t="str">
        <x:v>West</x:v>
      </x:c>
      <x:c r="I44" s="69" t="str">
        <x:v>Partner</x:v>
      </x:c>
      <x:c r="J44" s="69" t="str">
        <x:v>Enterprise</x:v>
      </x:c>
      <x:c r="K44" s="69" t="str">
        <x:v>Active</x:v>
      </x:c>
      <x:c r="L44" s="70" t="n">
        <x:v>46125</x:v>
      </x:c>
      <x:c r="M44" s="69" t="str">
        <x:v>K. Evans</x:v>
      </x:c>
      <x:c r="N44" s="71" t="str">
        <x:v>New lead</x:v>
      </x:c>
    </x:row>
    <x:row r="45" ht="21" customHeight="1">
      <x:c r="A45" s="64" t="str">
        <x:v>C-2041</x:v>
      </x:c>
      <x:c r="B45" s="65" t="str">
        <x:v>Sofia</x:v>
      </x:c>
      <x:c r="C45" s="65" t="str">
        <x:v> ALVAREZ </x:v>
      </x:c>
      <x:c r="D45" s="65" t="str"/>
      <x:c r="E45" s="65" t="str">
        <x:v>sofia.alvarez1040@poppylane.test</x:v>
      </x:c>
      <x:c r="F45" s="65" t="str">
        <x:v>+1-415-555-1040</x:v>
      </x:c>
      <x:c r="G45" s="65" t="str">
        <x:v>United States</x:v>
      </x:c>
      <x:c r="H45" s="65" t="str">
        <x:v>North</x:v>
      </x:c>
      <x:c r="I45" s="65" t="str">
        <x:v>Website</x:v>
      </x:c>
      <x:c r="J45" s="65" t="str">
        <x:v>Small business</x:v>
      </x:c>
      <x:c r="K45" s="65" t="str">
        <x:v>Prospect</x:v>
      </x:c>
      <x:c r="L45" s="66" t="n">
        <x:v>46156</x:v>
      </x:c>
      <x:c r="M45" s="65" t="str">
        <x:v>A. Patel</x:v>
      </x:c>
      <x:c r="N45" s="67" t="str">
        <x:v>Existing contact</x:v>
      </x:c>
    </x:row>
    <x:row r="46" ht="21" customHeight="1">
      <x:c r="A46" s="68" t="str">
        <x:v>C-2042</x:v>
      </x:c>
      <x:c r="B46" s="69" t="str">
        <x:v>Amir</x:v>
      </x:c>
      <x:c r="C46" s="69" t="str">
        <x:v>wilson</x:v>
      </x:c>
      <x:c r="D46" s="69" t="str">
        <x:v>  Harborline Foods  </x:v>
      </x:c>
      <x:c r="E46" s="69" t="str">
        <x:v>amir.wilson1041@harborlinefoods.test</x:v>
      </x:c>
      <x:c r="F46" s="69" t="str">
        <x:v>202 555 1041</x:v>
      </x:c>
      <x:c r="G46" s="69" t="str">
        <x:v>Australia</x:v>
      </x:c>
      <x:c r="H46" s="69" t="str">
        <x:v>Central</x:v>
      </x:c>
      <x:c r="I46" s="69" t="str">
        <x:v>Referral</x:v>
      </x:c>
      <x:c r="J46" s="69" t="str">
        <x:v>Nonprofit</x:v>
      </x:c>
      <x:c r="K46" s="69" t="str">
        <x:v>Inactive</x:v>
      </x:c>
      <x:c r="L46" s="70" t="n">
        <x:v>46188</x:v>
      </x:c>
      <x:c r="M46" s="69" t="str">
        <x:v>L. Brooks</x:v>
      </x:c>
      <x:c r="N46" s="71" t="str">
        <x:v>Account update</x:v>
      </x:c>
    </x:row>
    <x:row r="47" ht="21" customHeight="1">
      <x:c r="A47" s="64" t="str">
        <x:v>C-2043</x:v>
      </x:c>
      <x:c r="B47" s="65" t="str">
        <x:v> NORA </x:v>
      </x:c>
      <x:c r="C47" s="65" t="str">
        <x:v>  Green  </x:v>
      </x:c>
      <x:c r="D47" s="65" t="str">
        <x:v>North Bay Learning</x:v>
      </x:c>
      <x:c r="E47" s="65" t="str">
        <x:v>nora.green1042@northbaylearning.test</x:v>
      </x:c>
      <x:c r="F47" s="65" t="str">
        <x:v>+1 (202) 555-1042</x:v>
      </x:c>
      <x:c r="G47" s="65" t="str">
        <x:v>Canada</x:v>
      </x:c>
      <x:c r="H47" s="65" t="str">
        <x:v>International</x:v>
      </x:c>
      <x:c r="I47" s="65" t="str">
        <x:v>Trade show</x:v>
      </x:c>
      <x:c r="J47" s="65" t="str">
        <x:v>Mid-market</x:v>
      </x:c>
      <x:c r="K47" s="65" t="str">
        <x:v>Active</x:v>
      </x:c>
      <x:c r="L47" s="66" t="n">
        <x:v>46219</x:v>
      </x:c>
      <x:c r="M47" s="65" t="str">
        <x:v>R. Shah</x:v>
      </x:c>
      <x:c r="N47" s="67" t="str">
        <x:v>New lead</x:v>
      </x:c>
    </x:row>
    <x:row r="48" ht="21" customHeight="1">
      <x:c r="A48" s="68" t="str">
        <x:v>C-2044</x:v>
      </x:c>
      <x:c r="B48" s="69" t="str">
        <x:v>caleb</x:v>
      </x:c>
      <x:c r="C48" s="69" t="str">
        <x:v>Reed</x:v>
      </x:c>
      <x:c r="D48" s="69" t="str">
        <x:v>Orchard Road</x:v>
      </x:c>
      <x:c r="E48" s="69" t="str">
        <x:v>caleb.reed1043@orchardroad.test</x:v>
      </x:c>
      <x:c r="F48" s="69" t="str">
        <x:v>+1-415-555-1043</x:v>
      </x:c>
      <x:c r="G48" s="69" t="str">
        <x:v>India</x:v>
      </x:c>
      <x:c r="H48" s="69" t="str">
        <x:v>South</x:v>
      </x:c>
      <x:c r="I48" s="69" t="str">
        <x:v>Outbound</x:v>
      </x:c>
      <x:c r="J48" s="69" t="str">
        <x:v>Education</x:v>
      </x:c>
      <x:c r="K48" s="69" t="str">
        <x:v>Prospect</x:v>
      </x:c>
      <x:c r="L48" s="70" t="n">
        <x:v>46251</x:v>
      </x:c>
      <x:c r="M48" s="69" t="str">
        <x:v>M. Rivera</x:v>
      </x:c>
      <x:c r="N48" s="71" t="str">
        <x:v>Existing contact</x:v>
      </x:c>
    </x:row>
    <x:row r="49" ht="21" customHeight="1">
      <x:c r="A49" s="64" t="str">
        <x:v>C-2045</x:v>
      </x:c>
      <x:c r="B49" s="65" t="str">
        <x:v>  Zara  </x:v>
      </x:c>
      <x:c r="C49" s="65" t="str">
        <x:v>Thompson</x:v>
      </x:c>
      <x:c r="D49" s="65" t="str">
        <x:v>Pinecone Studio</x:v>
      </x:c>
      <x:c r="E49" s="65" t="str">
        <x:v>zara.thompson1044@pineconestudio.test</x:v>
      </x:c>
      <x:c r="F49" s="65" t="str">
        <x:v>202 555 1044</x:v>
      </x:c>
      <x:c r="G49" s="65" t="str">
        <x:v>United Kingdom</x:v>
      </x:c>
      <x:c r="H49" s="65" t="str">
        <x:v>West</x:v>
      </x:c>
      <x:c r="I49" s="65" t="str">
        <x:v>Partner</x:v>
      </x:c>
      <x:c r="J49" s="65" t="str">
        <x:v>Enterprise</x:v>
      </x:c>
      <x:c r="K49" s="65" t="str">
        <x:v>Inactive</x:v>
      </x:c>
      <x:c r="L49" s="66" t="n">
        <x:v>46283</x:v>
      </x:c>
      <x:c r="M49" s="65" t="str">
        <x:v>K. Evans</x:v>
      </x:c>
      <x:c r="N49" s="67" t="str">
        <x:v>Account update</x:v>
      </x:c>
    </x:row>
    <x:row r="50" ht="21" customHeight="1">
      <x:c r="A50" s="68" t="str">
        <x:v>C-2046</x:v>
      </x:c>
      <x:c r="B50" s="69" t="str">
        <x:v>Henry</x:v>
      </x:c>
      <x:c r="C50" s="69" t="str">
        <x:v>Adams</x:v>
      </x:c>
      <x:c r="D50" s="69" t="str">
        <x:v>Summit Learning</x:v>
      </x:c>
      <x:c r="E50" s="69" t="str">
        <x:v>henry.adams1045@summitlearning.test</x:v>
      </x:c>
      <x:c r="F50" s="69" t="str">
        <x:v>+1 (202) 555-1045</x:v>
      </x:c>
      <x:c r="G50" s="69" t="str">
        <x:v>United States</x:v>
      </x:c>
      <x:c r="H50" s="69" t="str">
        <x:v>North</x:v>
      </x:c>
      <x:c r="I50" s="69" t="str">
        <x:v>Website</x:v>
      </x:c>
      <x:c r="J50" s="69" t="str">
        <x:v>Small business</x:v>
      </x:c>
      <x:c r="K50" s="69" t="str">
        <x:v>Active</x:v>
      </x:c>
      <x:c r="L50" s="70" t="n">
        <x:v>46041</x:v>
      </x:c>
      <x:c r="M50" s="69" t="str">
        <x:v>A. Patel</x:v>
      </x:c>
      <x:c r="N50" s="71" t="str">
        <x:v>New lead</x:v>
      </x:c>
    </x:row>
    <x:row r="51" ht="21" customHeight="1">
      <x:c r="A51" s="64" t="str">
        <x:v>C-2047</x:v>
      </x:c>
      <x:c r="B51" s="65" t="str">
        <x:v>Ivy</x:v>
      </x:c>
      <x:c r="C51" s="65" t="str">
        <x:v>Martin</x:v>
      </x:c>
      <x:c r="D51" s="65" t="str">
        <x:v> LUMEN WORKS </x:v>
      </x:c>
      <x:c r="E51" s="65" t="str">
        <x:v>ivy.martin1046@lumenworks.test</x:v>
      </x:c>
      <x:c r="F51" s="65" t="str">
        <x:v>+1-415-555-1046</x:v>
      </x:c>
      <x:c r="G51" s="65" t="str">
        <x:v>Australia</x:v>
      </x:c>
      <x:c r="H51" s="65" t="str">
        <x:v>Central</x:v>
      </x:c>
      <x:c r="I51" s="65" t="str">
        <x:v>Referral</x:v>
      </x:c>
      <x:c r="J51" s="65" t="str">
        <x:v>Nonprofit</x:v>
      </x:c>
      <x:c r="K51" s="65" t="str">
        <x:v>Prospect</x:v>
      </x:c>
      <x:c r="L51" s="66" t="n">
        <x:v>46073</x:v>
      </x:c>
      <x:c r="M51" s="65" t="str">
        <x:v>L. Brooks</x:v>
      </x:c>
      <x:c r="N51" s="67" t="str">
        <x:v>Existing contact</x:v>
      </x:c>
    </x:row>
    <x:row r="52" ht="21" customHeight="1">
      <x:c r="A52" s="68" t="str">
        <x:v>C-2048</x:v>
      </x:c>
      <x:c r="B52" s="69" t="str">
        <x:v>Lucas</x:v>
      </x:c>
      <x:c r="C52" s="69" t="str">
        <x:v> DIAZ </x:v>
      </x:c>
      <x:c r="D52" s="69" t="str">
        <x:v>red kite market</x:v>
      </x:c>
      <x:c r="E52" s="69" t="str">
        <x:v>lucas.diaz1047@redkitemarket.test</x:v>
      </x:c>
      <x:c r="F52" s="69" t="str">
        <x:v>202 555 1047</x:v>
      </x:c>
      <x:c r="G52" s="69" t="str">
        <x:v>Canada</x:v>
      </x:c>
      <x:c r="H52" s="69" t="str">
        <x:v>International</x:v>
      </x:c>
      <x:c r="I52" s="69" t="str">
        <x:v>Trade show</x:v>
      </x:c>
      <x:c r="J52" s="69" t="str">
        <x:v>Mid-market</x:v>
      </x:c>
      <x:c r="K52" s="69" t="str">
        <x:v>Inactive</x:v>
      </x:c>
      <x:c r="L52" s="70" t="n">
        <x:v>46102</x:v>
      </x:c>
      <x:c r="M52" s="69" t="str">
        <x:v>R. Shah</x:v>
      </x:c>
      <x:c r="N52" s="71" t="str">
        <x:v>Account update</x:v>
      </x:c>
    </x:row>
    <x:row r="53" ht="21" customHeight="1">
      <x:c r="A53" s="64" t="str">
        <x:v>C-2049</x:v>
      </x:c>
      <x:c r="B53" s="65" t="str">
        <x:v>Emma</x:v>
      </x:c>
      <x:c r="C53" s="65" t="str">
        <x:v>okafor</x:v>
      </x:c>
      <x:c r="D53" s="65" t="str">
        <x:v>  Moss &amp; Morrow  </x:v>
      </x:c>
      <x:c r="E53" s="65" t="str">
        <x:v>emma.okafor1048@mossmorrow.test</x:v>
      </x:c>
      <x:c r="F53" s="65" t="str">
        <x:v>+1 (202) 555-1048</x:v>
      </x:c>
      <x:c r="G53" s="65" t="str">
        <x:v>India</x:v>
      </x:c>
      <x:c r="H53" s="65" t="str">
        <x:v>South</x:v>
      </x:c>
      <x:c r="I53" s="65" t="str">
        <x:v>Outbound</x:v>
      </x:c>
      <x:c r="J53" s="65" t="str">
        <x:v>Education</x:v>
      </x:c>
      <x:c r="K53" s="65" t="str">
        <x:v>Active</x:v>
      </x:c>
      <x:c r="L53" s="66" t="n">
        <x:v>46134</x:v>
      </x:c>
      <x:c r="M53" s="65" t="str">
        <x:v>M. Rivera</x:v>
      </x:c>
      <x:c r="N53" s="67" t="str">
        <x:v>New lead</x:v>
      </x:c>
    </x:row>
    <x:row r="54" ht="21" customHeight="1">
      <x:c r="A54" s="68" t="str">
        <x:v>C-2050</x:v>
      </x:c>
      <x:c r="B54" s="69" t="str">
        <x:v> ARJUN </x:v>
      </x:c>
      <x:c r="C54" s="69" t="str">
        <x:v>  Wright  </x:v>
      </x:c>
      <x:c r="D54" s="69" t="str">
        <x:v>Bridgewell Services</x:v>
      </x:c>
      <x:c r="E54" s="69" t="str">
        <x:v>arjun.wright1049@bridgewellservices.test</x:v>
      </x:c>
      <x:c r="F54" s="69" t="str">
        <x:v>+1-415-555-1049</x:v>
      </x:c>
      <x:c r="G54" s="69" t="str">
        <x:v>United Kingdom</x:v>
      </x:c>
      <x:c r="H54" s="69" t="str">
        <x:v>West</x:v>
      </x:c>
      <x:c r="I54" s="69" t="str">
        <x:v>Partner</x:v>
      </x:c>
      <x:c r="J54" s="69" t="str">
        <x:v>Enterprise</x:v>
      </x:c>
      <x:c r="K54" s="69" t="str">
        <x:v>Prospect</x:v>
      </x:c>
      <x:c r="L54" s="70" t="n">
        <x:v>46165</x:v>
      </x:c>
      <x:c r="M54" s="69" t="str">
        <x:v>K. Evans</x:v>
      </x:c>
      <x:c r="N54" s="71" t="str">
        <x:v>Existing contact</x:v>
      </x:c>
    </x:row>
    <x:row r="55" ht="21" customHeight="1">
      <x:c r="A55" s="64" t="str">
        <x:v>C-2051</x:v>
      </x:c>
      <x:c r="B55" s="65" t="str">
        <x:v>grace</x:v>
      </x:c>
      <x:c r="C55" s="65" t="str">
        <x:v>Fox</x:v>
      </x:c>
      <x:c r="D55" s="65" t="str">
        <x:v>Atlas Paper</x:v>
      </x:c>
      <x:c r="E55" s="65" t="str">
        <x:v>grace.fox1050@atlaspaper.test</x:v>
      </x:c>
      <x:c r="F55" s="65" t="str"/>
      <x:c r="G55" s="65" t="str">
        <x:v>United States</x:v>
      </x:c>
      <x:c r="H55" s="65" t="str">
        <x:v>North</x:v>
      </x:c>
      <x:c r="I55" s="65" t="str">
        <x:v>Website</x:v>
      </x:c>
      <x:c r="J55" s="65" t="str">
        <x:v>Small business</x:v>
      </x:c>
      <x:c r="K55" s="65" t="str">
        <x:v>Inactive</x:v>
      </x:c>
      <x:c r="L55" s="66" t="n">
        <x:v>46197</x:v>
      </x:c>
      <x:c r="M55" s="65" t="str">
        <x:v>A. Patel</x:v>
      </x:c>
      <x:c r="N55" s="67" t="str">
        <x:v>Account update</x:v>
      </x:c>
    </x:row>
    <x:row r="56" ht="21" customHeight="1">
      <x:c r="A56" s="68" t="str">
        <x:v>C-2052</x:v>
      </x:c>
      <x:c r="B56" s="69" t="str">
        <x:v>  Daniel  </x:v>
      </x:c>
      <x:c r="C56" s="69" t="str">
        <x:v>Patel</x:v>
      </x:c>
      <x:c r="D56" s="69" t="str">
        <x:v>Evergreen Kitchen</x:v>
      </x:c>
      <x:c r="E56" s="69" t="str">
        <x:v>daniel.patel1051@evergreenkitchen.test</x:v>
      </x:c>
      <x:c r="F56" s="69" t="str">
        <x:v>+1 (202) 555-1051</x:v>
      </x:c>
      <x:c r="G56" s="69" t="str">
        <x:v>Australia</x:v>
      </x:c>
      <x:c r="H56" s="69" t="str">
        <x:v>Central</x:v>
      </x:c>
      <x:c r="I56" s="69" t="str">
        <x:v>Referral</x:v>
      </x:c>
      <x:c r="J56" s="69" t="str">
        <x:v>Nonprofit</x:v>
      </x:c>
      <x:c r="K56" s="69" t="str">
        <x:v>Active</x:v>
      </x:c>
      <x:c r="L56" s="70" t="n">
        <x:v>46228</x:v>
      </x:c>
      <x:c r="M56" s="69" t="str">
        <x:v>L. Brooks</x:v>
      </x:c>
      <x:c r="N56" s="71" t="str">
        <x:v>New lead</x:v>
      </x:c>
    </x:row>
    <x:row r="57" ht="21" customHeight="1">
      <x:c r="A57" s="64" t="str">
        <x:v>C-2053</x:v>
      </x:c>
      <x:c r="B57" s="65" t="str">
        <x:v>Freya</x:v>
      </x:c>
      <x:c r="C57" s="65" t="str">
        <x:v>Haddad</x:v>
      </x:c>
      <x:c r="D57" s="65" t="str">
        <x:v>Cedar &amp; Finch</x:v>
      </x:c>
      <x:c r="E57" s="65" t="str">
        <x:v>freya.haddad1052@cedarfinch.test</x:v>
      </x:c>
      <x:c r="F57" s="65" t="str">
        <x:v>+1-415-555-1052</x:v>
      </x:c>
      <x:c r="G57" s="65" t="str">
        <x:v>Canada</x:v>
      </x:c>
      <x:c r="H57" s="65" t="str">
        <x:v>International</x:v>
      </x:c>
      <x:c r="I57" s="65" t="str">
        <x:v>Trade show</x:v>
      </x:c>
      <x:c r="J57" s="65" t="str">
        <x:v>Mid-market</x:v>
      </x:c>
      <x:c r="K57" s="65" t="str">
        <x:v>Prospect</x:v>
      </x:c>
      <x:c r="L57" s="66" t="n">
        <x:v>46260</x:v>
      </x:c>
      <x:c r="M57" s="65" t="str">
        <x:v>R. Shah</x:v>
      </x:c>
      <x:c r="N57" s="67" t="str">
        <x:v>Existing contact</x:v>
      </x:c>
    </x:row>
    <x:row r="58" ht="21" customHeight="1">
      <x:c r="A58" s="68" t="str">
        <x:v>C-2054</x:v>
      </x:c>
      <x:c r="B58" s="69" t="str">
        <x:v>Theo</x:v>
      </x:c>
      <x:c r="C58" s="69" t="str">
        <x:v>Khan</x:v>
      </x:c>
      <x:c r="D58" s="69" t="str">
        <x:v> FIELDSTONE HOME </x:v>
      </x:c>
      <x:c r="E58" s="69" t="str">
        <x:v>theo.khan1053@fieldstonehome.test</x:v>
      </x:c>
      <x:c r="F58" s="69" t="str">
        <x:v>202 555 1053</x:v>
      </x:c>
      <x:c r="G58" s="69" t="str">
        <x:v>India</x:v>
      </x:c>
      <x:c r="H58" s="69" t="str">
        <x:v>South</x:v>
      </x:c>
      <x:c r="I58" s="69" t="str">
        <x:v>Outbound</x:v>
      </x:c>
      <x:c r="J58" s="69" t="str">
        <x:v>Education</x:v>
      </x:c>
      <x:c r="K58" s="69" t="str">
        <x:v>Inactive</x:v>
      </x:c>
      <x:c r="L58" s="70" t="n">
        <x:v>46292</x:v>
      </x:c>
      <x:c r="M58" s="69" t="str">
        <x:v>M. Rivera</x:v>
      </x:c>
      <x:c r="N58" s="71" t="str">
        <x:v>Account update</x:v>
      </x:c>
    </x:row>
    <x:row r="59" ht="21" customHeight="1">
      <x:c r="A59" s="64" t="str">
        <x:v>C-2055</x:v>
      </x:c>
      <x:c r="B59" s="65" t="str">
        <x:v>Anika</x:v>
      </x:c>
      <x:c r="C59" s="65" t="str">
        <x:v> MEHTA </x:v>
      </x:c>
      <x:c r="D59" s="65" t="str">
        <x:v>maple row</x:v>
      </x:c>
      <x:c r="E59" s="65" t="str">
        <x:v>anika.mehta1054@maplerow.test</x:v>
      </x:c>
      <x:c r="F59" s="65" t="str">
        <x:v>+1 (202) 555-1054</x:v>
      </x:c>
      <x:c r="G59" s="65" t="str">
        <x:v>United Kingdom</x:v>
      </x:c>
      <x:c r="H59" s="65" t="str">
        <x:v>West</x:v>
      </x:c>
      <x:c r="I59" s="65" t="str">
        <x:v>Partner</x:v>
      </x:c>
      <x:c r="J59" s="65" t="str">
        <x:v>Enterprise</x:v>
      </x:c>
      <x:c r="K59" s="65" t="str">
        <x:v>Active</x:v>
      </x:c>
      <x:c r="L59" s="66" t="n">
        <x:v>46023</x:v>
      </x:c>
      <x:c r="M59" s="65" t="str">
        <x:v>K. Evans</x:v>
      </x:c>
      <x:c r="N59" s="67" t="str">
        <x:v>New lead</x:v>
      </x:c>
    </x:row>
    <x:row r="60" ht="21" customHeight="1">
      <x:c r="A60" s="68" t="str">
        <x:v>C-2056</x:v>
      </x:c>
      <x:c r="B60" s="69" t="str">
        <x:v>Miles</x:v>
      </x:c>
      <x:c r="C60" s="69" t="str">
        <x:v>bennett</x:v>
      </x:c>
      <x:c r="D60" s="69" t="str">
        <x:v>  Silver Birch Co  </x:v>
      </x:c>
      <x:c r="E60" s="69" t="str">
        <x:v>miles.bennett1055@silverbirchco.test</x:v>
      </x:c>
      <x:c r="F60" s="69" t="str">
        <x:v>+1-415-555-1055</x:v>
      </x:c>
      <x:c r="G60" s="69" t="str">
        <x:v>United States</x:v>
      </x:c>
      <x:c r="H60" s="69" t="str">
        <x:v>North</x:v>
      </x:c>
      <x:c r="I60" s="69" t="str">
        <x:v>Website</x:v>
      </x:c>
      <x:c r="J60" s="69" t="str">
        <x:v>Small business</x:v>
      </x:c>
      <x:c r="K60" s="69" t="str">
        <x:v>Prospect</x:v>
      </x:c>
      <x:c r="L60" s="70" t="n">
        <x:v>46055</x:v>
      </x:c>
      <x:c r="M60" s="69" t="str">
        <x:v>A. Patel</x:v>
      </x:c>
      <x:c r="N60" s="71" t="str">
        <x:v>Existing contact</x:v>
      </x:c>
    </x:row>
    <x:row r="61" ht="21" customHeight="1">
      <x:c r="A61" s="64" t="str">
        <x:v>C-2057</x:v>
      </x:c>
      <x:c r="B61" s="65" t="str">
        <x:v> TALIA </x:v>
      </x:c>
      <x:c r="C61" s="65" t="str">
        <x:v>  Nair  </x:v>
      </x:c>
      <x:c r="D61" s="65" t="str">
        <x:v>East Bay Books</x:v>
      </x:c>
      <x:c r="E61" s="65" t="str">
        <x:v>talia.nair1056@eastbaybooks.test</x:v>
      </x:c>
      <x:c r="F61" s="65" t="str">
        <x:v>202 555 1056</x:v>
      </x:c>
      <x:c r="G61" s="65" t="str">
        <x:v>Australia</x:v>
      </x:c>
      <x:c r="H61" s="65" t="str">
        <x:v>Central</x:v>
      </x:c>
      <x:c r="I61" s="65" t="str">
        <x:v>Referral</x:v>
      </x:c>
      <x:c r="J61" s="65" t="str">
        <x:v>Nonprofit</x:v>
      </x:c>
      <x:c r="K61" s="65" t="str">
        <x:v>Inactive</x:v>
      </x:c>
      <x:c r="L61" s="66" t="n">
        <x:v>46084</x:v>
      </x:c>
      <x:c r="M61" s="65" t="str">
        <x:v>L. Brooks</x:v>
      </x:c>
      <x:c r="N61" s="67" t="str">
        <x:v>Account update</x:v>
      </x:c>
    </x:row>
    <x:row r="62" ht="21" customHeight="1">
      <x:c r="A62" s="68" t="str">
        <x:v>C-2058</x:v>
      </x:c>
      <x:c r="B62" s="69" t="str">
        <x:v>ravi</x:v>
      </x:c>
      <x:c r="C62" s="69" t="str">
        <x:v>Kim</x:v>
      </x:c>
      <x:c r="D62" s="69" t="str">
        <x:v>Tandem Outfitters</x:v>
      </x:c>
      <x:c r="E62" s="69" t="str">
        <x:v>ravi.kim1057@tandemoutfitters.test</x:v>
      </x:c>
      <x:c r="F62" s="69" t="str">
        <x:v>+1 (202) 555-1057</x:v>
      </x:c>
      <x:c r="G62" s="69" t="str">
        <x:v>Canada</x:v>
      </x:c>
      <x:c r="H62" s="69" t="str">
        <x:v>International</x:v>
      </x:c>
      <x:c r="I62" s="69" t="str">
        <x:v>Social Media</x:v>
      </x:c>
      <x:c r="J62" s="69" t="str">
        <x:v>Mid-market</x:v>
      </x:c>
      <x:c r="K62" s="69" t="str">
        <x:v>Active</x:v>
      </x:c>
      <x:c r="L62" s="70" t="n">
        <x:v>46116</x:v>
      </x:c>
      <x:c r="M62" s="69" t="str">
        <x:v>R. Shah</x:v>
      </x:c>
      <x:c r="N62" s="71" t="str">
        <x:v>New lead</x:v>
      </x:c>
    </x:row>
    <x:row r="63" ht="21" customHeight="1">
      <x:c r="A63" s="64" t="str">
        <x:v>C-2059</x:v>
      </x:c>
      <x:c r="B63" s="65" t="str">
        <x:v>  Elena  </x:v>
      </x:c>
      <x:c r="C63" s="65" t="str">
        <x:v>Brown</x:v>
      </x:c>
      <x:c r="D63" s="65" t="str">
        <x:v>Willow &amp; West</x:v>
      </x:c>
      <x:c r="E63" s="65" t="str">
        <x:v>elena.brown1058@willowwest.test</x:v>
      </x:c>
      <x:c r="F63" s="65" t="str">
        <x:v>+1-415-555-1058</x:v>
      </x:c>
      <x:c r="G63" s="65" t="str">
        <x:v>India</x:v>
      </x:c>
      <x:c r="H63" s="65" t="str">
        <x:v>South</x:v>
      </x:c>
      <x:c r="I63" s="65" t="str">
        <x:v>Outbound</x:v>
      </x:c>
      <x:c r="J63" s="65" t="str">
        <x:v>Education</x:v>
      </x:c>
      <x:c r="K63" s="65" t="str">
        <x:v>Prospect</x:v>
      </x:c>
      <x:c r="L63" s="66" t="n">
        <x:v>46147</x:v>
      </x:c>
      <x:c r="M63" s="65" t="str">
        <x:v>M. Rivera</x:v>
      </x:c>
      <x:c r="N63" s="67" t="str">
        <x:v>Existing contact</x:v>
      </x:c>
    </x:row>
    <x:row r="64" ht="21" customHeight="1">
      <x:c r="A64" s="68" t="str">
        <x:v>C-2060</x:v>
      </x:c>
      <x:c r="B64" s="69" t="str">
        <x:v>Sam</x:v>
      </x:c>
      <x:c r="C64" s="69" t="str">
        <x:v>Shah</x:v>
      </x:c>
      <x:c r="D64" s="69" t="str">
        <x:v>Solstice Supply</x:v>
      </x:c>
      <x:c r="E64" s="69" t="str">
        <x:v>sam.shah1059@solsticesupply.test</x:v>
      </x:c>
      <x:c r="F64" s="69" t="str">
        <x:v>202 555 1059</x:v>
      </x:c>
      <x:c r="G64" s="69" t="str">
        <x:v>United Kingdom</x:v>
      </x:c>
      <x:c r="H64" s="69" t="str">
        <x:v>West</x:v>
      </x:c>
      <x:c r="I64" s="69" t="str">
        <x:v>Partner</x:v>
      </x:c>
      <x:c r="J64" s="69" t="str">
        <x:v>Enterprise</x:v>
      </x:c>
      <x:c r="K64" s="69" t="str">
        <x:v>Inactive</x:v>
      </x:c>
      <x:c r="L64" s="70" t="n">
        <x:v>46179</x:v>
      </x:c>
      <x:c r="M64" s="69" t="str">
        <x:v>K. Evans</x:v>
      </x:c>
      <x:c r="N64" s="71" t="str">
        <x:v>Account update</x:v>
      </x:c>
    </x:row>
    <x:row r="65" ht="21" customHeight="1">
      <x:c r="A65" s="64" t="str">
        <x:v>C-2061</x:v>
      </x:c>
      <x:c r="B65" s="65" t="str">
        <x:v>Maya</x:v>
      </x:c>
      <x:c r="C65" s="65" t="str">
        <x:v>Chen</x:v>
      </x:c>
      <x:c r="D65" s="65" t="str">
        <x:v> NORTHSTAR SUPPLY </x:v>
      </x:c>
      <x:c r="E65" s="65" t="str">
        <x:v>maya.chen1060@northstarsupply.test</x:v>
      </x:c>
      <x:c r="F65" s="65" t="str">
        <x:v>+1 (202) 555-1060</x:v>
      </x:c>
      <x:c r="G65" s="65" t="str">
        <x:v>United States</x:v>
      </x:c>
      <x:c r="H65" s="65" t="str">
        <x:v>North</x:v>
      </x:c>
      <x:c r="I65" s="65" t="str">
        <x:v>Website</x:v>
      </x:c>
      <x:c r="J65" s="65" t="str">
        <x:v>Small business</x:v>
      </x:c>
      <x:c r="K65" s="65" t="str">
        <x:v>Active</x:v>
      </x:c>
      <x:c r="L65" s="66" t="n">
        <x:v>46210</x:v>
      </x:c>
      <x:c r="M65" s="65" t="str">
        <x:v>A. Patel</x:v>
      </x:c>
      <x:c r="N65" s="67" t="str">
        <x:v>New lead</x:v>
      </x:c>
    </x:row>
    <x:row r="66" ht="21" customHeight="1">
      <x:c r="A66" s="68" t="str">
        <x:v>C-2062</x:v>
      </x:c>
      <x:c r="B66" s="69" t="str">
        <x:v>Jonah</x:v>
      </x:c>
      <x:c r="C66" s="69" t="str">
        <x:v> COLE </x:v>
      </x:c>
      <x:c r="D66" s="69" t="str">
        <x:v>meridian goods</x:v>
      </x:c>
      <x:c r="E66" s="69" t="str">
        <x:v>jonah.cole1061@meridiangoods.test</x:v>
      </x:c>
      <x:c r="F66" s="69" t="str">
        <x:v>+1-415-555-1061</x:v>
      </x:c>
      <x:c r="G66" s="69" t="str">
        <x:v>Australia</x:v>
      </x:c>
      <x:c r="H66" s="69" t="str">
        <x:v>Central</x:v>
      </x:c>
      <x:c r="I66" s="69" t="str">
        <x:v>Referral</x:v>
      </x:c>
      <x:c r="J66" s="69" t="str">
        <x:v>Startup</x:v>
      </x:c>
      <x:c r="K66" s="69" t="str">
        <x:v>Prospect</x:v>
      </x:c>
      <x:c r="L66" s="70" t="n">
        <x:v>46242</x:v>
      </x:c>
      <x:c r="M66" s="69" t="str">
        <x:v>L. Brooks</x:v>
      </x:c>
      <x:c r="N66" s="71" t="str">
        <x:v>Existing contact</x:v>
      </x:c>
    </x:row>
    <x:row r="67" ht="21" customHeight="1">
      <x:c r="A67" s="64" t="str">
        <x:v>C-2063</x:v>
      </x:c>
      <x:c r="B67" s="65" t="str">
        <x:v>Priya</x:v>
      </x:c>
      <x:c r="C67" s="65" t="str">
        <x:v>mahmood</x:v>
      </x:c>
      <x:c r="D67" s="65" t="str">
        <x:v>  Sunbeam Stationery  </x:v>
      </x:c>
      <x:c r="E67" s="65" t="str">
        <x:v>priya.mahmood1062@sunbeamstationery.test</x:v>
      </x:c>
      <x:c r="F67" s="65" t="str">
        <x:v>202 555 1062</x:v>
      </x:c>
      <x:c r="G67" s="65" t="str">
        <x:v>Canada</x:v>
      </x:c>
      <x:c r="H67" s="65" t="str">
        <x:v>International</x:v>
      </x:c>
      <x:c r="I67" s="65" t="str">
        <x:v>Trade show</x:v>
      </x:c>
      <x:c r="J67" s="65" t="str">
        <x:v>Mid-market</x:v>
      </x:c>
      <x:c r="K67" s="65" t="str">
        <x:v>Inactive</x:v>
      </x:c>
      <x:c r="L67" s="66" t="n">
        <x:v>46274</x:v>
      </x:c>
      <x:c r="M67" s="65" t="str">
        <x:v>R. Shah</x:v>
      </x:c>
      <x:c r="N67" s="67" t="str">
        <x:v>Account update</x:v>
      </x:c>
    </x:row>
    <x:row r="68" ht="21" customHeight="1">
      <x:c r="A68" s="68" t="str">
        <x:v>C-2064</x:v>
      </x:c>
      <x:c r="B68" s="69" t="str">
        <x:v> OWEN </x:v>
      </x:c>
      <x:c r="C68" s="69" t="str">
        <x:v>  Olsen  </x:v>
      </x:c>
      <x:c r="D68" s="69" t="str">
        <x:v>Juniper Retail</x:v>
      </x:c>
      <x:c r="E68" s="69" t="str">
        <x:v>owen.olsen1063@juniperretail.test</x:v>
      </x:c>
      <x:c r="F68" s="69" t="str">
        <x:v>+1 (202) 555-1063</x:v>
      </x:c>
      <x:c r="G68" s="69" t="str">
        <x:v>India</x:v>
      </x:c>
      <x:c r="H68" s="69" t="str">
        <x:v>South</x:v>
      </x:c>
      <x:c r="I68" s="69" t="str">
        <x:v>Outbound</x:v>
      </x:c>
      <x:c r="J68" s="69" t="str">
        <x:v>Education</x:v>
      </x:c>
      <x:c r="K68" s="69" t="str">
        <x:v>Active</x:v>
      </x:c>
      <x:c r="L68" s="70" t="n">
        <x:v>46032</x:v>
      </x:c>
      <x:c r="M68" s="69" t="str">
        <x:v>M. Rivera</x:v>
      </x:c>
      <x:c r="N68" s="71" t="str">
        <x:v>New lead</x:v>
      </x:c>
    </x:row>
    <x:row r="69" ht="21" customHeight="1">
      <x:c r="A69" s="64" t="str">
        <x:v>C-2065</x:v>
      </x:c>
      <x:c r="B69" s="65" t="str">
        <x:v>leila</x:v>
      </x:c>
      <x:c r="C69" s="65" t="str">
        <x:v>Clark</x:v>
      </x:c>
      <x:c r="D69" s="65" t="str">
        <x:v>Brightwell Design</x:v>
      </x:c>
      <x:c r="E69" s="65" t="str">
        <x:v>leila.clark1064@brightwelldesign.test</x:v>
      </x:c>
      <x:c r="F69" s="65" t="str">
        <x:v>+1-415-555-1064</x:v>
      </x:c>
      <x:c r="G69" s="65" t="str">
        <x:v>United Kingdom</x:v>
      </x:c>
      <x:c r="H69" s="65" t="str">
        <x:v>West</x:v>
      </x:c>
      <x:c r="I69" s="65" t="str">
        <x:v>Partner</x:v>
      </x:c>
      <x:c r="J69" s="65" t="str">
        <x:v>Enterprise</x:v>
      </x:c>
      <x:c r="K69" s="65" t="str">
        <x:v>Prospect</x:v>
      </x:c>
      <x:c r="L69" s="66" t="n">
        <x:v>46064</x:v>
      </x:c>
      <x:c r="M69" s="65" t="str">
        <x:v>K. Evans</x:v>
      </x:c>
      <x:c r="N69" s="67" t="str">
        <x:v>Existing contact</x:v>
      </x:c>
    </x:row>
    <x:row r="70" ht="21" customHeight="1">
      <x:c r="A70" s="68" t="str">
        <x:v>C-2066</x:v>
      </x:c>
      <x:c r="B70" s="69" t="str">
        <x:v>  Mateo  </x:v>
      </x:c>
      <x:c r="C70" s="69" t="str">
        <x:v>Silva</x:v>
      </x:c>
      <x:c r="D70" s="69" t="str">
        <x:v>Granite Grove</x:v>
      </x:c>
      <x:c r="E70" s="69" t="str">
        <x:v>mateo.silva1065@granitegrove.test</x:v>
      </x:c>
      <x:c r="F70" s="69" t="str">
        <x:v>202 555 1065</x:v>
      </x:c>
      <x:c r="G70" s="69" t="str">
        <x:v>United States</x:v>
      </x:c>
      <x:c r="H70" s="69" t="str">
        <x:v>North</x:v>
      </x:c>
      <x:c r="I70" s="69" t="str">
        <x:v>Website</x:v>
      </x:c>
      <x:c r="J70" s="69" t="str">
        <x:v>Small business</x:v>
      </x:c>
      <x:c r="K70" s="69" t="str">
        <x:v>Inactive</x:v>
      </x:c>
      <x:c r="L70" s="70" t="n">
        <x:v>46093</x:v>
      </x:c>
      <x:c r="M70" s="69" t="str">
        <x:v>A. Patel</x:v>
      </x:c>
      <x:c r="N70" s="71" t="str">
        <x:v>Account update</x:v>
      </x:c>
    </x:row>
    <x:row r="71" ht="21" customHeight="1">
      <x:c r="A71" s="64" t="str">
        <x:v>C-2067</x:v>
      </x:c>
      <x:c r="B71" s="65" t="str">
        <x:v>Ruth</x:v>
      </x:c>
      <x:c r="C71" s="65" t="str">
        <x:v>Jensen</x:v>
      </x:c>
      <x:c r="D71" s="65" t="str">
        <x:v>Blue Current</x:v>
      </x:c>
      <x:c r="E71" s="65" t="str">
        <x:v>ruth.jensen1066@bluecurrent.test</x:v>
      </x:c>
      <x:c r="F71" s="65" t="str">
        <x:v>+1 (202) 555-1066</x:v>
      </x:c>
      <x:c r="G71" s="65" t="str">
        <x:v>Australia</x:v>
      </x:c>
      <x:c r="H71" s="65" t="str">
        <x:v>Central</x:v>
      </x:c>
      <x:c r="I71" s="65" t="str">
        <x:v>Referral</x:v>
      </x:c>
      <x:c r="J71" s="65" t="str">
        <x:v>Nonprofit</x:v>
      </x:c>
      <x:c r="K71" s="65" t="str">
        <x:v>Active</x:v>
      </x:c>
      <x:c r="L71" s="66" t="n">
        <x:v>46125</x:v>
      </x:c>
      <x:c r="M71" s="65" t="str">
        <x:v>L. Brooks</x:v>
      </x:c>
      <x:c r="N71" s="67" t="str">
        <x:v>New lead</x:v>
      </x:c>
    </x:row>
    <x:row r="72" ht="21" customHeight="1">
      <x:c r="A72" s="68" t="str">
        <x:v>C-2068</x:v>
      </x:c>
      <x:c r="B72" s="69" t="str">
        <x:v>Ethan</x:v>
      </x:c>
      <x:c r="C72" s="69" t="str">
        <x:v>Liu</x:v>
      </x:c>
      <x:c r="D72" s="69" t="str">
        <x:v> GREENLINE MARKET </x:v>
      </x:c>
      <x:c r="E72" s="69" t="str">
        <x:v>ethan.liu1067@greenlinemarket.test</x:v>
      </x:c>
      <x:c r="F72" s="69" t="str">
        <x:v>+1-415-555-1067</x:v>
      </x:c>
      <x:c r="G72" s="69" t="str">
        <x:v>Canada</x:v>
      </x:c>
      <x:c r="H72" s="69" t="str">
        <x:v>International</x:v>
      </x:c>
      <x:c r="I72" s="69" t="str">
        <x:v>Trade show</x:v>
      </x:c>
      <x:c r="J72" s="69" t="str">
        <x:v>Mid-market</x:v>
      </x:c>
      <x:c r="K72" s="69" t="str">
        <x:v>Prospect</x:v>
      </x:c>
      <x:c r="L72" s="70" t="n">
        <x:v>46156</x:v>
      </x:c>
      <x:c r="M72" s="69" t="str">
        <x:v>R. Shah</x:v>
      </x:c>
      <x:c r="N72" s="71" t="str">
        <x:v>Existing contact</x:v>
      </x:c>
    </x:row>
    <x:row r="73" ht="21" customHeight="1">
      <x:c r="A73" s="64" t="str">
        <x:v>C-2069</x:v>
      </x:c>
      <x:c r="B73" s="65" t="str">
        <x:v>Ava</x:v>
      </x:c>
      <x:c r="C73" s="65" t="str">
        <x:v> ROY </x:v>
      </x:c>
      <x:c r="D73" s="65" t="str">
        <x:v>cloudberry labs</x:v>
      </x:c>
      <x:c r="E73" s="65" t="str">
        <x:v>ava.roy1068@cloudberrylabs.test</x:v>
      </x:c>
      <x:c r="F73" s="65" t="str">
        <x:v>202 555 1068</x:v>
      </x:c>
      <x:c r="G73" s="65" t="str">
        <x:v>India</x:v>
      </x:c>
      <x:c r="H73" s="65" t="str">
        <x:v>South</x:v>
      </x:c>
      <x:c r="I73" s="65" t="str">
        <x:v>Outbound</x:v>
      </x:c>
      <x:c r="J73" s="65" t="str">
        <x:v>Education</x:v>
      </x:c>
      <x:c r="K73" s="65" t="str">
        <x:v>Inactive</x:v>
      </x:c>
      <x:c r="L73" s="66" t="n">
        <x:v>46188</x:v>
      </x:c>
      <x:c r="M73" s="65" t="str">
        <x:v>M. Rivera</x:v>
      </x:c>
      <x:c r="N73" s="67" t="str">
        <x:v>Account update</x:v>
      </x:c>
    </x:row>
    <x:row r="74" ht="21" customHeight="1">
      <x:c r="A74" s="68" t="str">
        <x:v>C-2070</x:v>
      </x:c>
      <x:c r="B74" s="69" t="str">
        <x:v>Noah</x:v>
      </x:c>
      <x:c r="C74" s="69" t="str">
        <x:v>park</x:v>
      </x:c>
      <x:c r="D74" s="69" t="str">
        <x:v>  Cobalt Office  </x:v>
      </x:c>
      <x:c r="E74" s="69" t="str">
        <x:v>noah.park1069@cobaltoffice.test</x:v>
      </x:c>
      <x:c r="F74" s="69" t="str">
        <x:v>+1 (202) 555-1069</x:v>
      </x:c>
      <x:c r="G74" s="69" t="str">
        <x:v>United Kingdom</x:v>
      </x:c>
      <x:c r="H74" s="69" t="str">
        <x:v>West</x:v>
      </x:c>
      <x:c r="I74" s="69" t="str">
        <x:v>Partner</x:v>
      </x:c>
      <x:c r="J74" s="69" t="str">
        <x:v>Enterprise</x:v>
      </x:c>
      <x:c r="K74" s="69" t="str">
        <x:v>Archived</x:v>
      </x:c>
      <x:c r="L74" s="70" t="n">
        <x:v>46219</x:v>
      </x:c>
      <x:c r="M74" s="69" t="str">
        <x:v>K. Evans</x:v>
      </x:c>
      <x:c r="N74" s="71" t="str">
        <x:v>New lead</x:v>
      </x:c>
    </x:row>
    <x:row r="75" ht="21" customHeight="1">
      <x:c r="A75" s="64" t="str">
        <x:v>C-2071</x:v>
      </x:c>
      <x:c r="B75" s="65" t="str">
        <x:v> SOFIA </x:v>
      </x:c>
      <x:c r="C75" s="65" t="str">
        <x:v>  Alvarez  </x:v>
      </x:c>
      <x:c r="D75" s="65" t="str">
        <x:v>Poppy Lane</x:v>
      </x:c>
      <x:c r="E75" s="65" t="str">
        <x:v>sofia.alvarez1070@poppylane.test</x:v>
      </x:c>
      <x:c r="F75" s="65" t="str">
        <x:v>+1-415-555-1070</x:v>
      </x:c>
      <x:c r="G75" s="65" t="str">
        <x:v>United States</x:v>
      </x:c>
      <x:c r="H75" s="65" t="str">
        <x:v>North</x:v>
      </x:c>
      <x:c r="I75" s="65" t="str">
        <x:v>Website</x:v>
      </x:c>
      <x:c r="J75" s="65" t="str">
        <x:v>Small business</x:v>
      </x:c>
      <x:c r="K75" s="65" t="str">
        <x:v>Prospect</x:v>
      </x:c>
      <x:c r="L75" s="66" t="n">
        <x:v>46251</x:v>
      </x:c>
      <x:c r="M75" s="65" t="str">
        <x:v>A. Patel</x:v>
      </x:c>
      <x:c r="N75" s="67" t="str">
        <x:v>Existing contact</x:v>
      </x:c>
    </x:row>
    <x:row r="76" ht="21" customHeight="1">
      <x:c r="A76" s="68" t="str">
        <x:v>C-2072</x:v>
      </x:c>
      <x:c r="B76" s="69" t="str">
        <x:v>amir</x:v>
      </x:c>
      <x:c r="C76" s="69" t="str">
        <x:v>Wilson</x:v>
      </x:c>
      <x:c r="D76" s="69" t="str">
        <x:v>Harborline Foods</x:v>
      </x:c>
      <x:c r="E76" s="69" t="str">
        <x:v>amir.wilson1071@harborlinefoods.test</x:v>
      </x:c>
      <x:c r="F76" s="69" t="str">
        <x:v>202 555 1071</x:v>
      </x:c>
      <x:c r="G76" s="69" t="str">
        <x:v>Australia</x:v>
      </x:c>
      <x:c r="H76" s="69" t="str">
        <x:v>Central</x:v>
      </x:c>
      <x:c r="I76" s="69" t="str">
        <x:v>Referral</x:v>
      </x:c>
      <x:c r="J76" s="69" t="str">
        <x:v>Nonprofit</x:v>
      </x:c>
      <x:c r="K76" s="69" t="str">
        <x:v>Inactive</x:v>
      </x:c>
      <x:c r="L76" s="70" t="n">
        <x:v>46283</x:v>
      </x:c>
      <x:c r="M76" s="69" t="str">
        <x:v>L. Brooks</x:v>
      </x:c>
      <x:c r="N76" s="71" t="str">
        <x:v>Account update</x:v>
      </x:c>
    </x:row>
    <x:row r="77" ht="21" customHeight="1">
      <x:c r="A77" s="64" t="str">
        <x:v>C-2073</x:v>
      </x:c>
      <x:c r="B77" s="65" t="str">
        <x:v>  Nora  </x:v>
      </x:c>
      <x:c r="C77" s="65" t="str">
        <x:v>Green</x:v>
      </x:c>
      <x:c r="D77" s="65" t="str">
        <x:v>North Bay Learning</x:v>
      </x:c>
      <x:c r="E77" s="65" t="str">
        <x:v>nora.green1072@northbaylearning.test</x:v>
      </x:c>
      <x:c r="F77" s="65" t="str">
        <x:v>+1 (202) 555-1072</x:v>
      </x:c>
      <x:c r="G77" s="65" t="str">
        <x:v>Canada</x:v>
      </x:c>
      <x:c r="H77" s="65" t="str">
        <x:v>International</x:v>
      </x:c>
      <x:c r="I77" s="65" t="str">
        <x:v>Trade show</x:v>
      </x:c>
      <x:c r="J77" s="65" t="str">
        <x:v>Mid-market</x:v>
      </x:c>
      <x:c r="K77" s="65" t="str">
        <x:v>Active</x:v>
      </x:c>
      <x:c r="L77" s="66" t="n">
        <x:v>46041</x:v>
      </x:c>
      <x:c r="M77" s="65" t="str">
        <x:v>R. Shah</x:v>
      </x:c>
      <x:c r="N77" s="67" t="str">
        <x:v>New lead</x:v>
      </x:c>
    </x:row>
    <x:row r="78" ht="21" customHeight="1">
      <x:c r="A78" s="68" t="str">
        <x:v>C-2074</x:v>
      </x:c>
      <x:c r="B78" s="69" t="str">
        <x:v>Caleb</x:v>
      </x:c>
      <x:c r="C78" s="69" t="str">
        <x:v>Reed</x:v>
      </x:c>
      <x:c r="D78" s="69" t="str">
        <x:v>Orchard Road</x:v>
      </x:c>
      <x:c r="E78" s="69" t="str">
        <x:v>caleb.reed1073@orchardroad.test</x:v>
      </x:c>
      <x:c r="F78" s="69" t="str">
        <x:v>+1-415-555-1073</x:v>
      </x:c>
      <x:c r="G78" s="69" t="str">
        <x:v>India</x:v>
      </x:c>
      <x:c r="H78" s="69" t="str">
        <x:v>South</x:v>
      </x:c>
      <x:c r="I78" s="69" t="str">
        <x:v>Outbound</x:v>
      </x:c>
      <x:c r="J78" s="69" t="str">
        <x:v>Education</x:v>
      </x:c>
      <x:c r="K78" s="69" t="str">
        <x:v>Prospect</x:v>
      </x:c>
      <x:c r="L78" s="70" t="n">
        <x:v>46073</x:v>
      </x:c>
      <x:c r="M78" s="69" t="str">
        <x:v>M. Rivera</x:v>
      </x:c>
      <x:c r="N78" s="71" t="str">
        <x:v>Existing contact</x:v>
      </x:c>
    </x:row>
    <x:row r="79" ht="21" customHeight="1">
      <x:c r="A79" s="64" t="str">
        <x:v>C-2075</x:v>
      </x:c>
      <x:c r="B79" s="65" t="str">
        <x:v>Zara</x:v>
      </x:c>
      <x:c r="C79" s="65" t="str">
        <x:v>Thompson</x:v>
      </x:c>
      <x:c r="D79" s="65" t="str">
        <x:v> PINECONE STUDIO </x:v>
      </x:c>
      <x:c r="E79" s="65" t="str">
        <x:v>zara.thompson1074@pineconestudio.test</x:v>
      </x:c>
      <x:c r="F79" s="65" t="str">
        <x:v>202 555 1074</x:v>
      </x:c>
      <x:c r="G79" s="65" t="str">
        <x:v>United Kingdom</x:v>
      </x:c>
      <x:c r="H79" s="65" t="str">
        <x:v>West</x:v>
      </x:c>
      <x:c r="I79" s="65" t="str">
        <x:v>Partner</x:v>
      </x:c>
      <x:c r="J79" s="65" t="str">
        <x:v>Enterprise</x:v>
      </x:c>
      <x:c r="K79" s="65" t="str">
        <x:v>Inactive</x:v>
      </x:c>
      <x:c r="L79" s="66" t="n">
        <x:v>46102</x:v>
      </x:c>
      <x:c r="M79" s="65" t="str">
        <x:v>K. Evans</x:v>
      </x:c>
      <x:c r="N79" s="67" t="str">
        <x:v>Account update</x:v>
      </x:c>
    </x:row>
    <x:row r="80" ht="21" customHeight="1">
      <x:c r="A80" s="68" t="str">
        <x:v>C-2076</x:v>
      </x:c>
      <x:c r="B80" s="69" t="str">
        <x:v>Henry</x:v>
      </x:c>
      <x:c r="C80" s="69" t="str">
        <x:v> ADAMS </x:v>
      </x:c>
      <x:c r="D80" s="69" t="str">
        <x:v>summit learning</x:v>
      </x:c>
      <x:c r="E80" s="69" t="str">
        <x:v>henry.adams1075@summitlearning.test</x:v>
      </x:c>
      <x:c r="F80" s="69" t="str">
        <x:v>+1 (202) 555-1000</x:v>
      </x:c>
      <x:c r="G80" s="69" t="str">
        <x:v>United States</x:v>
      </x:c>
      <x:c r="H80" s="69" t="str">
        <x:v>North</x:v>
      </x:c>
      <x:c r="I80" s="69" t="str">
        <x:v>Website</x:v>
      </x:c>
      <x:c r="J80" s="69" t="str">
        <x:v>Small business</x:v>
      </x:c>
      <x:c r="K80" s="69" t="str">
        <x:v>Active</x:v>
      </x:c>
      <x:c r="L80" s="70" t="n">
        <x:v>46134</x:v>
      </x:c>
      <x:c r="M80" s="69" t="str">
        <x:v>A. Patel</x:v>
      </x:c>
      <x:c r="N80" s="71" t="str">
        <x:v>New lead</x:v>
      </x:c>
    </x:row>
    <x:row r="81" ht="21" customHeight="1">
      <x:c r="A81" s="64" t="str">
        <x:v>C-2077</x:v>
      </x:c>
      <x:c r="B81" s="65" t="str">
        <x:v>Ivy</x:v>
      </x:c>
      <x:c r="C81" s="65" t="str">
        <x:v>martin</x:v>
      </x:c>
      <x:c r="D81" s="65" t="str">
        <x:v>  Lumen Works  </x:v>
      </x:c>
      <x:c r="E81" s="65" t="str">
        <x:v>ivy.martin1076@lumenworks.test</x:v>
      </x:c>
      <x:c r="F81" s="65" t="str">
        <x:v>+1-415-555-1076</x:v>
      </x:c>
      <x:c r="G81" s="65" t="str">
        <x:v>Australia</x:v>
      </x:c>
      <x:c r="H81" s="65" t="str">
        <x:v>Central</x:v>
      </x:c>
      <x:c r="I81" s="65" t="str">
        <x:v>Referral</x:v>
      </x:c>
      <x:c r="J81" s="65" t="str">
        <x:v>Nonprofit</x:v>
      </x:c>
      <x:c r="K81" s="65" t="str">
        <x:v>Prospect</x:v>
      </x:c>
      <x:c r="L81" s="66" t="n">
        <x:v>46165</x:v>
      </x:c>
      <x:c r="M81" s="65" t="str">
        <x:v>L. Brooks</x:v>
      </x:c>
      <x:c r="N81" s="67" t="str">
        <x:v>Existing contact</x:v>
      </x:c>
    </x:row>
    <x:row r="82" ht="21" customHeight="1">
      <x:c r="A82" s="68" t="str">
        <x:v>C-2078</x:v>
      </x:c>
      <x:c r="B82" s="69" t="str">
        <x:v> LUCAS </x:v>
      </x:c>
      <x:c r="C82" s="69" t="str">
        <x:v>  Diaz  </x:v>
      </x:c>
      <x:c r="D82" s="69" t="str">
        <x:v>Red Kite Market</x:v>
      </x:c>
      <x:c r="E82" s="69" t="str">
        <x:v>lucas.diaz1077@redkitemarket.test</x:v>
      </x:c>
      <x:c r="F82" s="69" t="str">
        <x:v>202 555 1077</x:v>
      </x:c>
      <x:c r="G82" s="69" t="str">
        <x:v>Canada</x:v>
      </x:c>
      <x:c r="H82" s="69" t="str">
        <x:v>International</x:v>
      </x:c>
      <x:c r="I82" s="69" t="str">
        <x:v>Trade show</x:v>
      </x:c>
      <x:c r="J82" s="69" t="str">
        <x:v>Mid-market</x:v>
      </x:c>
      <x:c r="K82" s="69" t="str">
        <x:v>Inactive</x:v>
      </x:c>
      <x:c r="L82" s="70" t="n">
        <x:v>46197</x:v>
      </x:c>
      <x:c r="M82" s="69" t="str">
        <x:v>R. Shah</x:v>
      </x:c>
      <x:c r="N82" s="71" t="str">
        <x:v>Account update</x:v>
      </x:c>
    </x:row>
    <x:row r="83" ht="21" customHeight="1">
      <x:c r="A83" s="64" t="str">
        <x:v>C-2079</x:v>
      </x:c>
      <x:c r="B83" s="65" t="str">
        <x:v>emma</x:v>
      </x:c>
      <x:c r="C83" s="65" t="str">
        <x:v>Okafor</x:v>
      </x:c>
      <x:c r="D83" s="65" t="str">
        <x:v>Moss &amp; Morrow</x:v>
      </x:c>
      <x:c r="E83" s="65" t="str">
        <x:v>emma.okafor1078@mossmorrow.test</x:v>
      </x:c>
      <x:c r="F83" s="65" t="str">
        <x:v>+1 (202) 555-1078</x:v>
      </x:c>
      <x:c r="G83" s="65" t="str">
        <x:v>India</x:v>
      </x:c>
      <x:c r="H83" s="65" t="str">
        <x:v>South</x:v>
      </x:c>
      <x:c r="I83" s="65" t="str">
        <x:v>Outbound</x:v>
      </x:c>
      <x:c r="J83" s="65" t="str">
        <x:v>Education</x:v>
      </x:c>
      <x:c r="K83" s="65" t="str">
        <x:v>Active</x:v>
      </x:c>
      <x:c r="L83" s="66" t="n">
        <x:v>46228</x:v>
      </x:c>
      <x:c r="M83" s="65" t="str">
        <x:v>M. Rivera</x:v>
      </x:c>
      <x:c r="N83" s="67" t="str">
        <x:v>New lead</x:v>
      </x:c>
    </x:row>
    <x:row r="84" ht="21" customHeight="1">
      <x:c r="A84" s="68" t="str">
        <x:v>C-2080</x:v>
      </x:c>
      <x:c r="B84" s="69" t="str">
        <x:v>  Arjun  </x:v>
      </x:c>
      <x:c r="C84" s="69" t="str">
        <x:v>Wright</x:v>
      </x:c>
      <x:c r="D84" s="69" t="str">
        <x:v>Bridgewell Services</x:v>
      </x:c>
      <x:c r="E84" s="69" t="str">
        <x:v>arjun.wright1079@bridgewellservices.test</x:v>
      </x:c>
      <x:c r="F84" s="69" t="str">
        <x:v>+1-415-555-1079</x:v>
      </x:c>
      <x:c r="G84" s="69" t="str">
        <x:v>United Kingdom</x:v>
      </x:c>
      <x:c r="H84" s="69" t="str">
        <x:v>West</x:v>
      </x:c>
      <x:c r="I84" s="69" t="str">
        <x:v>Partner</x:v>
      </x:c>
      <x:c r="J84" s="69" t="str">
        <x:v>Enterprise</x:v>
      </x:c>
      <x:c r="K84" s="69" t="str">
        <x:v>Prospect</x:v>
      </x:c>
      <x:c r="L84" s="70" t="n">
        <x:v>46260</x:v>
      </x:c>
      <x:c r="M84" s="69" t="str">
        <x:v>K. Evans</x:v>
      </x:c>
      <x:c r="N84" s="71" t="str">
        <x:v>Existing contact</x:v>
      </x:c>
    </x:row>
    <x:row r="85" ht="21" customHeight="1">
      <x:c r="A85" s="64" t="str">
        <x:v>C-2081</x:v>
      </x:c>
      <x:c r="B85" s="65" t="str">
        <x:v>Grace</x:v>
      </x:c>
      <x:c r="C85" s="65" t="str">
        <x:v>Fox</x:v>
      </x:c>
      <x:c r="D85" s="65" t="str">
        <x:v>Atlas Paper</x:v>
      </x:c>
      <x:c r="E85" s="65" t="str">
        <x:v>grace.fox1080@atlaspaper.test</x:v>
      </x:c>
      <x:c r="F85" s="65" t="str">
        <x:v>202 555 1080</x:v>
      </x:c>
      <x:c r="G85" s="65" t="str">
        <x:v>United States</x:v>
      </x:c>
      <x:c r="H85" s="65" t="str">
        <x:v>North</x:v>
      </x:c>
      <x:c r="I85" s="65" t="str">
        <x:v>Website</x:v>
      </x:c>
      <x:c r="J85" s="65" t="str">
        <x:v>Small business</x:v>
      </x:c>
      <x:c r="K85" s="65" t="str">
        <x:v>Inactive</x:v>
      </x:c>
      <x:c r="L85" s="66" t="n">
        <x:v>46292</x:v>
      </x:c>
      <x:c r="M85" s="65" t="str">
        <x:v>A. Patel</x:v>
      </x:c>
      <x:c r="N85" s="67" t="str">
        <x:v>Account update</x:v>
      </x:c>
    </x:row>
    <x:row r="86" ht="21" customHeight="1">
      <x:c r="A86" s="68" t="str">
        <x:v>C-2082</x:v>
      </x:c>
      <x:c r="B86" s="69" t="str">
        <x:v>Daniel</x:v>
      </x:c>
      <x:c r="C86" s="69" t="str">
        <x:v>Patel</x:v>
      </x:c>
      <x:c r="D86" s="69" t="str">
        <x:v> EVERGREEN KITCHEN </x:v>
      </x:c>
      <x:c r="E86" s="69" t="str">
        <x:v>daniel.patel1081@evergreenkitchen.test</x:v>
      </x:c>
      <x:c r="F86" s="69" t="str">
        <x:v>+1 (202) 555-1081</x:v>
      </x:c>
      <x:c r="G86" s="69" t="str">
        <x:v>Australia</x:v>
      </x:c>
      <x:c r="H86" s="69" t="str">
        <x:v>Central</x:v>
      </x:c>
      <x:c r="I86" s="69" t="str">
        <x:v>Referral</x:v>
      </x:c>
      <x:c r="J86" s="69" t="str">
        <x:v>Nonprofit</x:v>
      </x:c>
      <x:c r="K86" s="69" t="str">
        <x:v>Active</x:v>
      </x:c>
      <x:c r="L86" s="70" t="n">
        <x:v>46023</x:v>
      </x:c>
      <x:c r="M86" s="69" t="str">
        <x:v>L. Brooks</x:v>
      </x:c>
      <x:c r="N86" s="71" t="str">
        <x:v>New lead</x:v>
      </x:c>
    </x:row>
    <x:row r="87" ht="21" customHeight="1">
      <x:c r="A87" s="64" t="str">
        <x:v>C-2083</x:v>
      </x:c>
      <x:c r="B87" s="65" t="str">
        <x:v>Freya</x:v>
      </x:c>
      <x:c r="C87" s="65" t="str">
        <x:v> HADDAD </x:v>
      </x:c>
      <x:c r="D87" s="65" t="str">
        <x:v>cedar &amp; finch</x:v>
      </x:c>
      <x:c r="E87" s="65" t="str">
        <x:v>freya.haddad1082@cedarfinch.test</x:v>
      </x:c>
      <x:c r="F87" s="65" t="str">
        <x:v>+1-415-555-1082</x:v>
      </x:c>
      <x:c r="G87" s="65" t="str">
        <x:v>Canada</x:v>
      </x:c>
      <x:c r="H87" s="65" t="str">
        <x:v>International</x:v>
      </x:c>
      <x:c r="I87" s="65" t="str">
        <x:v>Trade show</x:v>
      </x:c>
      <x:c r="J87" s="65" t="str">
        <x:v>Mid-market</x:v>
      </x:c>
      <x:c r="K87" s="65" t="str">
        <x:v>Prospect</x:v>
      </x:c>
      <x:c r="L87" s="66" t="n">
        <x:v>46055</x:v>
      </x:c>
      <x:c r="M87" s="65" t="str">
        <x:v>R. Shah</x:v>
      </x:c>
      <x:c r="N87" s="67" t="str">
        <x:v>Existing contact</x:v>
      </x:c>
    </x:row>
    <x:row r="88" ht="21" customHeight="1">
      <x:c r="A88" s="68" t="str">
        <x:v>C-2084</x:v>
      </x:c>
      <x:c r="B88" s="69" t="str">
        <x:v>Theo</x:v>
      </x:c>
      <x:c r="C88" s="69" t="str">
        <x:v>khan</x:v>
      </x:c>
      <x:c r="D88" s="69" t="str">
        <x:v>  Fieldstone Home  </x:v>
      </x:c>
      <x:c r="E88" s="69" t="str">
        <x:v>theo.khan1083@fieldstonehome.test</x:v>
      </x:c>
      <x:c r="F88" s="69" t="str">
        <x:v>202 555 1083</x:v>
      </x:c>
      <x:c r="G88" s="69" t="str">
        <x:v>India</x:v>
      </x:c>
      <x:c r="H88" s="69" t="str">
        <x:v>South</x:v>
      </x:c>
      <x:c r="I88" s="69" t="str">
        <x:v>Outbound</x:v>
      </x:c>
      <x:c r="J88" s="69" t="str">
        <x:v>Education</x:v>
      </x:c>
      <x:c r="K88" s="69" t="str">
        <x:v>Inactive</x:v>
      </x:c>
      <x:c r="L88" s="70" t="n">
        <x:v>46084</x:v>
      </x:c>
      <x:c r="M88" s="69" t="str">
        <x:v>M. Rivera</x:v>
      </x:c>
      <x:c r="N88" s="71" t="str">
        <x:v>Account update</x:v>
      </x:c>
    </x:row>
    <x:row r="89" ht="21" customHeight="1">
      <x:c r="A89" s="64" t="str">
        <x:v>C-2085</x:v>
      </x:c>
      <x:c r="B89" s="65" t="str">
        <x:v> ANIKA </x:v>
      </x:c>
      <x:c r="C89" s="65" t="str">
        <x:v>  Mehta  </x:v>
      </x:c>
      <x:c r="D89" s="65" t="str">
        <x:v>Maple Row</x:v>
      </x:c>
      <x:c r="E89" s="65" t="str">
        <x:v>anika.mehta1084@maplerow.test</x:v>
      </x:c>
      <x:c r="F89" s="65" t="str">
        <x:v>+1 (202) 555-1084</x:v>
      </x:c>
      <x:c r="G89" s="65" t="str">
        <x:v>United Kingdom</x:v>
      </x:c>
      <x:c r="H89" s="65" t="str">
        <x:v>West</x:v>
      </x:c>
      <x:c r="I89" s="65" t="str">
        <x:v>Partner</x:v>
      </x:c>
      <x:c r="J89" s="65" t="str">
        <x:v>Enterprise</x:v>
      </x:c>
      <x:c r="K89" s="65" t="str">
        <x:v>Active</x:v>
      </x:c>
      <x:c r="L89" s="66" t="n">
        <x:v>46116</x:v>
      </x:c>
      <x:c r="M89" s="65" t="str">
        <x:v>K. Evans</x:v>
      </x:c>
      <x:c r="N89" s="67" t="str">
        <x:v>New lead</x:v>
      </x:c>
    </x:row>
    <x:row r="90" ht="21" customHeight="1">
      <x:c r="A90" s="68" t="str">
        <x:v>C-2086</x:v>
      </x:c>
      <x:c r="B90" s="69" t="str">
        <x:v>miles</x:v>
      </x:c>
      <x:c r="C90" s="69" t="str">
        <x:v>Bennett</x:v>
      </x:c>
      <x:c r="D90" s="69" t="str">
        <x:v>Silver Birch Co</x:v>
      </x:c>
      <x:c r="E90" s="69" t="str">
        <x:v>miles.bennett1085@silverbirchco.test</x:v>
      </x:c>
      <x:c r="F90" s="69" t="str">
        <x:v>+1-415-555-1085</x:v>
      </x:c>
      <x:c r="G90" s="69" t="str">
        <x:v>United States</x:v>
      </x:c>
      <x:c r="H90" s="69" t="str">
        <x:v>North</x:v>
      </x:c>
      <x:c r="I90" s="69" t="str">
        <x:v>Website</x:v>
      </x:c>
      <x:c r="J90" s="69" t="str">
        <x:v>Small business</x:v>
      </x:c>
      <x:c r="K90" s="69" t="str">
        <x:v>Prospect</x:v>
      </x:c>
      <x:c r="L90" s="70" t="n">
        <x:v>46147</x:v>
      </x:c>
      <x:c r="M90" s="69" t="str">
        <x:v>A. Patel</x:v>
      </x:c>
      <x:c r="N90" s="71" t="str">
        <x:v>Existing contact</x:v>
      </x:c>
    </x:row>
    <x:row r="91" ht="21" customHeight="1">
      <x:c r="A91" s="64" t="str">
        <x:v>C-2087</x:v>
      </x:c>
      <x:c r="B91" s="65" t="str">
        <x:v>  Talia  </x:v>
      </x:c>
      <x:c r="C91" s="65" t="str">
        <x:v>Nair</x:v>
      </x:c>
      <x:c r="D91" s="65" t="str">
        <x:v>East Bay Books</x:v>
      </x:c>
      <x:c r="E91" s="65" t="str">
        <x:v>talia.nair1086@eastbaybooks.test</x:v>
      </x:c>
      <x:c r="F91" s="65" t="str">
        <x:v>202 555 1086</x:v>
      </x:c>
      <x:c r="G91" s="65" t="str">
        <x:v>Australia</x:v>
      </x:c>
      <x:c r="H91" s="65" t="str">
        <x:v>Central</x:v>
      </x:c>
      <x:c r="I91" s="65" t="str">
        <x:v>Referral</x:v>
      </x:c>
      <x:c r="J91" s="65" t="str">
        <x:v>Nonprofit</x:v>
      </x:c>
      <x:c r="K91" s="65" t="str">
        <x:v>Inactive</x:v>
      </x:c>
      <x:c r="L91" s="66" t="n">
        <x:v>46179</x:v>
      </x:c>
      <x:c r="M91" s="65" t="str">
        <x:v>L. Brooks</x:v>
      </x:c>
      <x:c r="N91" s="67" t="str">
        <x:v>Account update</x:v>
      </x:c>
    </x:row>
    <x:row r="92" ht="21" customHeight="1">
      <x:c r="A92" s="68" t="str">
        <x:v>C-2088</x:v>
      </x:c>
      <x:c r="B92" s="69" t="str">
        <x:v>Ravi</x:v>
      </x:c>
      <x:c r="C92" s="69" t="str">
        <x:v>Kim</x:v>
      </x:c>
      <x:c r="D92" s="69" t="str">
        <x:v>Tandem Outfitters</x:v>
      </x:c>
      <x:c r="E92" s="69" t="str">
        <x:v>ravi.kim1087@tandemoutfitters.test</x:v>
      </x:c>
      <x:c r="F92" s="69" t="str">
        <x:v>+1 (202) 555-1087</x:v>
      </x:c>
      <x:c r="G92" s="69" t="str">
        <x:v>Canada</x:v>
      </x:c>
      <x:c r="H92" s="69" t="str">
        <x:v>International</x:v>
      </x:c>
      <x:c r="I92" s="69" t="str">
        <x:v>Trade show</x:v>
      </x:c>
      <x:c r="J92" s="69" t="str">
        <x:v>Mid-market</x:v>
      </x:c>
      <x:c r="K92" s="69" t="str">
        <x:v>Active</x:v>
      </x:c>
      <x:c r="L92" s="70" t="n">
        <x:v>46210</x:v>
      </x:c>
      <x:c r="M92" s="69" t="str">
        <x:v>R. Shah</x:v>
      </x:c>
      <x:c r="N92" s="71" t="str">
        <x:v>New lead</x:v>
      </x:c>
    </x:row>
    <x:row r="93" ht="21" customHeight="1">
      <x:c r="A93" s="64" t="str">
        <x:v>C-2089</x:v>
      </x:c>
      <x:c r="B93" s="65" t="str">
        <x:v>Elena</x:v>
      </x:c>
      <x:c r="C93" s="65" t="str">
        <x:v>Brown</x:v>
      </x:c>
      <x:c r="D93" s="65" t="str">
        <x:v> WILLOW &amp; WEST </x:v>
      </x:c>
      <x:c r="E93" s="65" t="str">
        <x:v>elena.brown1088@willowwest.test</x:v>
      </x:c>
      <x:c r="F93" s="65" t="str">
        <x:v>+1-415-555-1088</x:v>
      </x:c>
      <x:c r="G93" s="65" t="str">
        <x:v>India</x:v>
      </x:c>
      <x:c r="H93" s="65" t="str">
        <x:v>South</x:v>
      </x:c>
      <x:c r="I93" s="65" t="str">
        <x:v>Outbound</x:v>
      </x:c>
      <x:c r="J93" s="65" t="str">
        <x:v>Education</x:v>
      </x:c>
      <x:c r="K93" s="65" t="str">
        <x:v>Prospect</x:v>
      </x:c>
      <x:c r="L93" s="66" t="n">
        <x:v>46242</x:v>
      </x:c>
      <x:c r="M93" s="65" t="str">
        <x:v>M. Rivera</x:v>
      </x:c>
      <x:c r="N93" s="67" t="str">
        <x:v>Existing contact</x:v>
      </x:c>
    </x:row>
    <x:row r="94" ht="21" customHeight="1">
      <x:c r="A94" s="68" t="str">
        <x:v>C-2090</x:v>
      </x:c>
      <x:c r="B94" s="69" t="str">
        <x:v>Sam</x:v>
      </x:c>
      <x:c r="C94" s="69" t="str">
        <x:v> SHAH </x:v>
      </x:c>
      <x:c r="D94" s="69" t="str">
        <x:v>solstice supply</x:v>
      </x:c>
      <x:c r="E94" s="69" t="str">
        <x:v>maya.chen1000@northstarsupply.test</x:v>
      </x:c>
      <x:c r="F94" s="69" t="str">
        <x:v>202 555 1089</x:v>
      </x:c>
      <x:c r="G94" s="69" t="str">
        <x:v>United Kingdom</x:v>
      </x:c>
      <x:c r="H94" s="69" t="str">
        <x:v>West</x:v>
      </x:c>
      <x:c r="I94" s="69" t="str">
        <x:v>Partner</x:v>
      </x:c>
      <x:c r="J94" s="69" t="str">
        <x:v>Enterprise</x:v>
      </x:c>
      <x:c r="K94" s="69" t="str">
        <x:v>Inactive</x:v>
      </x:c>
      <x:c r="L94" s="70" t="n">
        <x:v>46274</x:v>
      </x:c>
      <x:c r="M94" s="69" t="str">
        <x:v>K. Evans</x:v>
      </x:c>
      <x:c r="N94" s="71" t="str">
        <x:v>Account update</x:v>
      </x:c>
    </x:row>
    <x:row r="95" ht="21" customHeight="1">
      <x:c r="A95" s="64" t="str">
        <x:v>C-2091</x:v>
      </x:c>
      <x:c r="B95" s="65" t="str">
        <x:v>Maya</x:v>
      </x:c>
      <x:c r="C95" s="65" t="str">
        <x:v>chen</x:v>
      </x:c>
      <x:c r="D95" s="65" t="str">
        <x:v>  Northstar Supply  </x:v>
      </x:c>
      <x:c r="E95" s="65" t="str">
        <x:v>maya.chen1090@northstarsupply.test</x:v>
      </x:c>
      <x:c r="F95" s="65" t="str">
        <x:v>+1 (202) 555-1090</x:v>
      </x:c>
      <x:c r="G95" s="65" t="str">
        <x:v>United States</x:v>
      </x:c>
      <x:c r="H95" s="65" t="str">
        <x:v>North</x:v>
      </x:c>
      <x:c r="I95" s="65" t="str">
        <x:v>Website</x:v>
      </x:c>
      <x:c r="J95" s="65" t="str">
        <x:v>Small business</x:v>
      </x:c>
      <x:c r="K95" s="65" t="str">
        <x:v>Active</x:v>
      </x:c>
      <x:c r="L95" s="66" t="n">
        <x:v>46032</x:v>
      </x:c>
      <x:c r="M95" s="65" t="str">
        <x:v>A. Patel</x:v>
      </x:c>
      <x:c r="N95" s="67" t="str">
        <x:v>New lead</x:v>
      </x:c>
    </x:row>
    <x:row r="96" ht="21" customHeight="1">
      <x:c r="A96" s="68" t="str">
        <x:v>C-2092</x:v>
      </x:c>
      <x:c r="B96" s="69" t="str">
        <x:v> JONAH </x:v>
      </x:c>
      <x:c r="C96" s="69" t="str">
        <x:v>  Cole  </x:v>
      </x:c>
      <x:c r="D96" s="69" t="str">
        <x:v>Meridian Goods</x:v>
      </x:c>
      <x:c r="E96" s="69" t="str">
        <x:v>jonah.cole1091@meridiangoods.test</x:v>
      </x:c>
      <x:c r="F96" s="69" t="str">
        <x:v>+1-415-555-1091</x:v>
      </x:c>
      <x:c r="G96" s="69" t="str">
        <x:v>Australia</x:v>
      </x:c>
      <x:c r="H96" s="69" t="str">
        <x:v>Central</x:v>
      </x:c>
      <x:c r="I96" s="69" t="str">
        <x:v>Referral</x:v>
      </x:c>
      <x:c r="J96" s="69" t="str">
        <x:v>Nonprofit</x:v>
      </x:c>
      <x:c r="K96" s="69" t="str">
        <x:v>Prospect</x:v>
      </x:c>
      <x:c r="L96" s="70" t="n">
        <x:v>46064</x:v>
      </x:c>
      <x:c r="M96" s="69" t="str">
        <x:v>L. Brooks</x:v>
      </x:c>
      <x:c r="N96" s="71" t="str">
        <x:v>Existing contact</x:v>
      </x:c>
    </x:row>
    <x:row r="97" ht="21" customHeight="1">
      <x:c r="A97" s="64" t="str">
        <x:v>C-2093</x:v>
      </x:c>
      <x:c r="B97" s="65" t="str">
        <x:v>priya</x:v>
      </x:c>
      <x:c r="C97" s="65" t="str">
        <x:v>Mahmood</x:v>
      </x:c>
      <x:c r="D97" s="65" t="str">
        <x:v>Sunbeam Stationery</x:v>
      </x:c>
      <x:c r="E97" s="65" t="str">
        <x:v>priya.mahmood1092@sunbeamstationery.test</x:v>
      </x:c>
      <x:c r="F97" s="65" t="str">
        <x:v>202 555 1092</x:v>
      </x:c>
      <x:c r="G97" s="65" t="str">
        <x:v>Canada</x:v>
      </x:c>
      <x:c r="H97" s="65" t="str">
        <x:v>International</x:v>
      </x:c>
      <x:c r="I97" s="65" t="str">
        <x:v>Trade show</x:v>
      </x:c>
      <x:c r="J97" s="65" t="str">
        <x:v>Mid-market</x:v>
      </x:c>
      <x:c r="K97" s="65" t="str">
        <x:v>Inactive</x:v>
      </x:c>
      <x:c r="L97" s="66" t="n">
        <x:v>46093</x:v>
      </x:c>
      <x:c r="M97" s="65" t="str">
        <x:v>R. Shah</x:v>
      </x:c>
      <x:c r="N97" s="67" t="str">
        <x:v>Account update</x:v>
      </x:c>
    </x:row>
    <x:row r="98" ht="21" customHeight="1">
      <x:c r="A98" s="68" t="str">
        <x:v>C-2094</x:v>
      </x:c>
      <x:c r="B98" s="69" t="str">
        <x:v>  Owen  </x:v>
      </x:c>
      <x:c r="C98" s="69" t="str">
        <x:v>Olsen</x:v>
      </x:c>
      <x:c r="D98" s="69" t="str">
        <x:v>Juniper Retail</x:v>
      </x:c>
      <x:c r="E98" s="69" t="str">
        <x:v>owen.olsen1093@juniperretail.test</x:v>
      </x:c>
      <x:c r="F98" s="69" t="str">
        <x:v>+1 (202) 555-1093</x:v>
      </x:c>
      <x:c r="G98" s="69" t="str">
        <x:v>India</x:v>
      </x:c>
      <x:c r="H98" s="69" t="str">
        <x:v>South</x:v>
      </x:c>
      <x:c r="I98" s="69" t="str">
        <x:v>Outbound</x:v>
      </x:c>
      <x:c r="J98" s="69" t="str">
        <x:v>Education</x:v>
      </x:c>
      <x:c r="K98" s="69" t="str">
        <x:v>Active</x:v>
      </x:c>
      <x:c r="L98" s="70" t="n">
        <x:v>46125</x:v>
      </x:c>
      <x:c r="M98" s="69" t="str">
        <x:v>M. Rivera</x:v>
      </x:c>
      <x:c r="N98" s="71" t="str">
        <x:v>New lead</x:v>
      </x:c>
    </x:row>
    <x:row r="99" ht="21" customHeight="1">
      <x:c r="A99" s="64" t="str">
        <x:v>C-2095</x:v>
      </x:c>
      <x:c r="B99" s="65" t="str">
        <x:v>Leila</x:v>
      </x:c>
      <x:c r="C99" s="65" t="str">
        <x:v>Clark</x:v>
      </x:c>
      <x:c r="D99" s="65" t="str">
        <x:v>Brightwell Design</x:v>
      </x:c>
      <x:c r="E99" s="65" t="str">
        <x:v>leila.clark1094@brightwelldesign.test</x:v>
      </x:c>
      <x:c r="F99" s="65" t="str">
        <x:v>+1-415-555-1094</x:v>
      </x:c>
      <x:c r="G99" s="65" t="str">
        <x:v>USA</x:v>
      </x:c>
      <x:c r="H99" s="65" t="str">
        <x:v>West</x:v>
      </x:c>
      <x:c r="I99" s="65" t="str">
        <x:v>Partner</x:v>
      </x:c>
      <x:c r="J99" s="65" t="str">
        <x:v>Enterprise</x:v>
      </x:c>
      <x:c r="K99" s="65" t="str">
        <x:v>Prospect</x:v>
      </x:c>
      <x:c r="L99" s="66" t="n">
        <x:v>46156</x:v>
      </x:c>
      <x:c r="M99" s="65" t="str">
        <x:v>K. Evans</x:v>
      </x:c>
      <x:c r="N99" s="67" t="str">
        <x:v>Existing contact</x:v>
      </x:c>
    </x:row>
    <x:row r="100" ht="21" customHeight="1">
      <x:c r="A100" s="68" t="str">
        <x:v>C-2096</x:v>
      </x:c>
      <x:c r="B100" s="69" t="str">
        <x:v>Mateo</x:v>
      </x:c>
      <x:c r="C100" s="69" t="str">
        <x:v>Silva</x:v>
      </x:c>
      <x:c r="D100" s="69" t="str">
        <x:v> GRANITE GROVE </x:v>
      </x:c>
      <x:c r="E100" s="69" t="str">
        <x:v>mateo.silva1095@granitegrove.test</x:v>
      </x:c>
      <x:c r="F100" s="69" t="str">
        <x:v>202 555 1095</x:v>
      </x:c>
      <x:c r="G100" s="69" t="str">
        <x:v>United States</x:v>
      </x:c>
      <x:c r="H100" s="69" t="str">
        <x:v>North</x:v>
      </x:c>
      <x:c r="I100" s="69" t="str">
        <x:v>Website</x:v>
      </x:c>
      <x:c r="J100" s="69" t="str">
        <x:v>Small business</x:v>
      </x:c>
      <x:c r="K100" s="69" t="str">
        <x:v>Inactive</x:v>
      </x:c>
      <x:c r="L100" s="70" t="n">
        <x:v>46188</x:v>
      </x:c>
      <x:c r="M100" s="69" t="str">
        <x:v>A. Patel</x:v>
      </x:c>
      <x:c r="N100" s="71" t="str">
        <x:v>Account update</x:v>
      </x:c>
    </x:row>
    <x:row r="101" ht="21" customHeight="1">
      <x:c r="A101" s="64" t="str">
        <x:v>C-2097</x:v>
      </x:c>
      <x:c r="B101" s="65" t="str">
        <x:v>Ruth</x:v>
      </x:c>
      <x:c r="C101" s="65" t="str">
        <x:v> JENSEN </x:v>
      </x:c>
      <x:c r="D101" s="65" t="str">
        <x:v>blue current</x:v>
      </x:c>
      <x:c r="E101" s="65" t="str">
        <x:v>ruth.jensen1096@bluecurrent.test</x:v>
      </x:c>
      <x:c r="F101" s="65" t="str">
        <x:v>+1 (202) 555-1096</x:v>
      </x:c>
      <x:c r="G101" s="65" t="str">
        <x:v>Australia</x:v>
      </x:c>
      <x:c r="H101" s="65" t="str">
        <x:v>Central</x:v>
      </x:c>
      <x:c r="I101" s="65" t="str">
        <x:v>Referral</x:v>
      </x:c>
      <x:c r="J101" s="65" t="str">
        <x:v>Nonprofit</x:v>
      </x:c>
      <x:c r="K101" s="65" t="str">
        <x:v>Active</x:v>
      </x:c>
      <x:c r="L101" s="66" t="n">
        <x:v>46219</x:v>
      </x:c>
      <x:c r="M101" s="65" t="str">
        <x:v>L. Brooks</x:v>
      </x:c>
      <x:c r="N101" s="67" t="str">
        <x:v>New lead</x:v>
      </x:c>
    </x:row>
    <x:row r="102" ht="21" customHeight="1">
      <x:c r="A102" s="68" t="str">
        <x:v>C-2098</x:v>
      </x:c>
      <x:c r="B102" s="69" t="str">
        <x:v>Ethan</x:v>
      </x:c>
      <x:c r="C102" s="69" t="str">
        <x:v>liu</x:v>
      </x:c>
      <x:c r="D102" s="69" t="str">
        <x:v>  Greenline Market  </x:v>
      </x:c>
      <x:c r="E102" s="69" t="str">
        <x:v>ethan.liu1097@greenlinemarket.test</x:v>
      </x:c>
      <x:c r="F102" s="69" t="str">
        <x:v>+1-415-555-1097</x:v>
      </x:c>
      <x:c r="G102" s="69" t="str">
        <x:v>Canada</x:v>
      </x:c>
      <x:c r="H102" s="69" t="str">
        <x:v>International</x:v>
      </x:c>
      <x:c r="I102" s="69" t="str">
        <x:v>Trade show</x:v>
      </x:c>
      <x:c r="J102" s="69" t="str">
        <x:v>Mid-market</x:v>
      </x:c>
      <x:c r="K102" s="69" t="str">
        <x:v>Prospect</x:v>
      </x:c>
      <x:c r="L102" s="70" t="n">
        <x:v>46251</x:v>
      </x:c>
      <x:c r="M102" s="69" t="str">
        <x:v>R. Shah</x:v>
      </x:c>
      <x:c r="N102" s="71" t="str">
        <x:v>Existing contact</x:v>
      </x:c>
    </x:row>
    <x:row r="103" ht="21" customHeight="1">
      <x:c r="A103" s="64" t="str">
        <x:v>C-2099</x:v>
      </x:c>
      <x:c r="B103" s="65" t="str">
        <x:v> AVA </x:v>
      </x:c>
      <x:c r="C103" s="65" t="str">
        <x:v>  Roy  </x:v>
      </x:c>
      <x:c r="D103" s="65" t="str">
        <x:v>Cloudberry Labs</x:v>
      </x:c>
      <x:c r="E103" s="65" t="str">
        <x:v>ava.roy1098@cloudberrylabs.test</x:v>
      </x:c>
      <x:c r="F103" s="65" t="str">
        <x:v>202 555 1098</x:v>
      </x:c>
      <x:c r="G103" s="65" t="str">
        <x:v>India</x:v>
      </x:c>
      <x:c r="H103" s="65" t="str">
        <x:v>South</x:v>
      </x:c>
      <x:c r="I103" s="65" t="str">
        <x:v>Outbound</x:v>
      </x:c>
      <x:c r="J103" s="65" t="str">
        <x:v>Education</x:v>
      </x:c>
      <x:c r="K103" s="65" t="str">
        <x:v>Inactive</x:v>
      </x:c>
      <x:c r="L103" s="66" t="n">
        <x:v>46283</x:v>
      </x:c>
      <x:c r="M103" s="65" t="str">
        <x:v>M. Rivera</x:v>
      </x:c>
      <x:c r="N103" s="67" t="str">
        <x:v>Account update</x:v>
      </x:c>
    </x:row>
    <x:row r="104" ht="21" customHeight="1">
      <x:c r="A104" s="68" t="str">
        <x:v>C-2100</x:v>
      </x:c>
      <x:c r="B104" s="69" t="str">
        <x:v>noah</x:v>
      </x:c>
      <x:c r="C104" s="69" t="str">
        <x:v>Park</x:v>
      </x:c>
      <x:c r="D104" s="69" t="str">
        <x:v>Cobalt Office</x:v>
      </x:c>
      <x:c r="E104" s="69" t="str">
        <x:v>noah.park1099@cobaltoffice.test</x:v>
      </x:c>
      <x:c r="F104" s="69" t="str">
        <x:v>+1 (202) 555-1099</x:v>
      </x:c>
      <x:c r="G104" s="69" t="str">
        <x:v>United Kingdom</x:v>
      </x:c>
      <x:c r="H104" s="69" t="str">
        <x:v>West</x:v>
      </x:c>
      <x:c r="I104" s="69" t="str">
        <x:v>Partner</x:v>
      </x:c>
      <x:c r="J104" s="69" t="str">
        <x:v>Enterprise</x:v>
      </x:c>
      <x:c r="K104" s="69" t="str">
        <x:v>Active</x:v>
      </x:c>
      <x:c r="L104" s="70" t="n">
        <x:v>46041</x:v>
      </x:c>
      <x:c r="M104" s="69" t="str">
        <x:v>K. Evans</x:v>
      </x:c>
      <x:c r="N104" s="71" t="str">
        <x:v>New lead</x:v>
      </x:c>
    </x:row>
    <x:row r="105" ht="21" customHeight="1">
      <x:c r="A105" s="64" t="str">
        <x:v>C-2101</x:v>
      </x:c>
      <x:c r="B105" s="65" t="str">
        <x:v>  Sofia  </x:v>
      </x:c>
      <x:c r="C105" s="65" t="str">
        <x:v>Alvarez</x:v>
      </x:c>
      <x:c r="D105" s="65" t="str">
        <x:v>Poppy Lane</x:v>
      </x:c>
      <x:c r="E105" s="65" t="str">
        <x:v>sofia.alvarez1100@poppylane.test</x:v>
      </x:c>
      <x:c r="F105" s="65" t="str">
        <x:v>+1-415-555-1100</x:v>
      </x:c>
      <x:c r="G105" s="65" t="str">
        <x:v>United States</x:v>
      </x:c>
      <x:c r="H105" s="65" t="str">
        <x:v>North</x:v>
      </x:c>
      <x:c r="I105" s="65" t="str">
        <x:v>Website</x:v>
      </x:c>
      <x:c r="J105" s="65" t="str">
        <x:v>Small business</x:v>
      </x:c>
      <x:c r="K105" s="65" t="str">
        <x:v>Prospect</x:v>
      </x:c>
      <x:c r="L105" s="66" t="n">
        <x:v>46073</x:v>
      </x:c>
      <x:c r="M105" s="65" t="str">
        <x:v>A. Patel</x:v>
      </x:c>
      <x:c r="N105" s="67" t="str">
        <x:v>Existing contact</x:v>
      </x:c>
    </x:row>
    <x:row r="106" ht="21" customHeight="1">
      <x:c r="A106" s="68" t="str">
        <x:v>C-2102</x:v>
      </x:c>
      <x:c r="B106" s="69" t="str">
        <x:v>Amir</x:v>
      </x:c>
      <x:c r="C106" s="69" t="str">
        <x:v>Wilson</x:v>
      </x:c>
      <x:c r="D106" s="69" t="str">
        <x:v>Harborline Foods</x:v>
      </x:c>
      <x:c r="E106" s="69" t="str">
        <x:v>amir.wilson1101@harborlinefoods.test</x:v>
      </x:c>
      <x:c r="F106" s="69" t="str">
        <x:v>202 555 1101</x:v>
      </x:c>
      <x:c r="G106" s="69" t="str">
        <x:v>Australia</x:v>
      </x:c>
      <x:c r="H106" s="69" t="str">
        <x:v>Central</x:v>
      </x:c>
      <x:c r="I106" s="69" t="str">
        <x:v>Referral</x:v>
      </x:c>
      <x:c r="J106" s="69" t="str">
        <x:v>Nonprofit</x:v>
      </x:c>
      <x:c r="K106" s="69" t="str">
        <x:v>Inactive</x:v>
      </x:c>
      <x:c r="L106" s="70" t="n">
        <x:v>46102</x:v>
      </x:c>
      <x:c r="M106" s="69" t="str">
        <x:v>L. Brooks</x:v>
      </x:c>
      <x:c r="N106" s="71" t="str">
        <x:v>Account update</x:v>
      </x:c>
    </x:row>
    <x:row r="107" ht="21" customHeight="1">
      <x:c r="A107" s="64" t="str">
        <x:v>C-2103</x:v>
      </x:c>
      <x:c r="B107" s="65" t="str">
        <x:v>Nora</x:v>
      </x:c>
      <x:c r="C107" s="65" t="str">
        <x:v>Green</x:v>
      </x:c>
      <x:c r="D107" s="65" t="str">
        <x:v> NORTH BAY LEARNING </x:v>
      </x:c>
      <x:c r="E107" s="65" t="str">
        <x:v>nora.green1102@northbaylearning.test</x:v>
      </x:c>
      <x:c r="F107" s="65" t="str">
        <x:v>+1 (202) 555-1102</x:v>
      </x:c>
      <x:c r="G107" s="65" t="str">
        <x:v>Canada</x:v>
      </x:c>
      <x:c r="H107" s="65" t="str">
        <x:v>International</x:v>
      </x:c>
      <x:c r="I107" s="65" t="str">
        <x:v>Trade show</x:v>
      </x:c>
      <x:c r="J107" s="65" t="str">
        <x:v>Mid-market</x:v>
      </x:c>
      <x:c r="K107" s="65" t="str">
        <x:v>Active</x:v>
      </x:c>
      <x:c r="L107" s="66" t="n">
        <x:v>46134</x:v>
      </x:c>
      <x:c r="M107" s="65" t="str">
        <x:v>R. Shah</x:v>
      </x:c>
      <x:c r="N107" s="67" t="str">
        <x:v>New lead</x:v>
      </x:c>
    </x:row>
    <x:row r="108" ht="21" customHeight="1">
      <x:c r="A108" s="68" t="str">
        <x:v>C-2104</x:v>
      </x:c>
      <x:c r="B108" s="69" t="str">
        <x:v>Caleb</x:v>
      </x:c>
      <x:c r="C108" s="69" t="str">
        <x:v> REED </x:v>
      </x:c>
      <x:c r="D108" s="69" t="str">
        <x:v>orchard road</x:v>
      </x:c>
      <x:c r="E108" s="69" t="str">
        <x:v>caleb.reed1103@orchardroad.test</x:v>
      </x:c>
      <x:c r="F108" s="69" t="str">
        <x:v>+1-415-555-1103</x:v>
      </x:c>
      <x:c r="G108" s="69" t="str">
        <x:v>India</x:v>
      </x:c>
      <x:c r="H108" s="69" t="str">
        <x:v>South</x:v>
      </x:c>
      <x:c r="I108" s="69" t="str">
        <x:v>Outbound</x:v>
      </x:c>
      <x:c r="J108" s="69" t="str">
        <x:v>Education</x:v>
      </x:c>
      <x:c r="K108" s="69" t="str">
        <x:v>Prospect</x:v>
      </x:c>
      <x:c r="L108" s="70" t="n">
        <x:v>46165</x:v>
      </x:c>
      <x:c r="M108" s="69" t="str">
        <x:v>M. Rivera</x:v>
      </x:c>
      <x:c r="N108" s="71" t="str">
        <x:v>Existing contact</x:v>
      </x:c>
    </x:row>
    <x:row r="109" ht="21" customHeight="1">
      <x:c r="A109" s="64" t="str">
        <x:v>C-2105</x:v>
      </x:c>
      <x:c r="B109" s="65" t="str">
        <x:v>Zara</x:v>
      </x:c>
      <x:c r="C109" s="65" t="str">
        <x:v>thompson</x:v>
      </x:c>
      <x:c r="D109" s="65" t="str">
        <x:v>  Pinecone Studio  </x:v>
      </x:c>
      <x:c r="E109" s="65" t="str">
        <x:v>zara.thompson1104@pineconestudio.test</x:v>
      </x:c>
      <x:c r="F109" s="65" t="str">
        <x:v>202 555 1104</x:v>
      </x:c>
      <x:c r="G109" s="65" t="str">
        <x:v>United Kingdom</x:v>
      </x:c>
      <x:c r="H109" s="65" t="str">
        <x:v>West</x:v>
      </x:c>
      <x:c r="I109" s="65" t="str">
        <x:v>Partner</x:v>
      </x:c>
      <x:c r="J109" s="65" t="str">
        <x:v>Enterprise</x:v>
      </x:c>
      <x:c r="K109" s="65" t="str">
        <x:v>Inactive</x:v>
      </x:c>
      <x:c r="L109" s="66" t="n">
        <x:v>46197</x:v>
      </x:c>
      <x:c r="M109" s="65" t="str">
        <x:v>K. Evans</x:v>
      </x:c>
      <x:c r="N109" s="67" t="str">
        <x:v>Account update</x:v>
      </x:c>
    </x:row>
    <x:row r="110" ht="21" customHeight="1">
      <x:c r="A110" s="68" t="str">
        <x:v>C-2106</x:v>
      </x:c>
      <x:c r="B110" s="69" t="str">
        <x:v> HENRY </x:v>
      </x:c>
      <x:c r="C110" s="69" t="str">
        <x:v>  Adams  </x:v>
      </x:c>
      <x:c r="D110" s="69" t="str">
        <x:v>Summit Learning</x:v>
      </x:c>
      <x:c r="E110" s="69" t="str">
        <x:v>henry.adams1105@summitlearning.test</x:v>
      </x:c>
      <x:c r="F110" s="69" t="str">
        <x:v>+1 (202) 555-1105</x:v>
      </x:c>
      <x:c r="G110" s="69" t="str">
        <x:v>United States</x:v>
      </x:c>
      <x:c r="H110" s="69" t="str">
        <x:v>North</x:v>
      </x:c>
      <x:c r="I110" s="69" t="str">
        <x:v>Website</x:v>
      </x:c>
      <x:c r="J110" s="69" t="str">
        <x:v>Small business</x:v>
      </x:c>
      <x:c r="K110" s="69" t="str">
        <x:v>Active</x:v>
      </x:c>
      <x:c r="L110" s="70" t="n">
        <x:v>46228</x:v>
      </x:c>
      <x:c r="M110" s="69" t="str">
        <x:v>A. Patel</x:v>
      </x:c>
      <x:c r="N110" s="71" t="str">
        <x:v>New lead</x:v>
      </x:c>
    </x:row>
    <x:row r="111" ht="21" customHeight="1">
      <x:c r="A111" s="64" t="str">
        <x:v>C-2107</x:v>
      </x:c>
      <x:c r="B111" s="65" t="str">
        <x:v>ivy</x:v>
      </x:c>
      <x:c r="C111" s="65" t="str">
        <x:v>Martin</x:v>
      </x:c>
      <x:c r="D111" s="65" t="str">
        <x:v>Lumen Works</x:v>
      </x:c>
      <x:c r="E111" s="65" t="str">
        <x:v>ivy.martin1106@lumenworks.test</x:v>
      </x:c>
      <x:c r="F111" s="65" t="str">
        <x:v>+1-415-555-1106</x:v>
      </x:c>
      <x:c r="G111" s="65" t="str">
        <x:v>Australia</x:v>
      </x:c>
      <x:c r="H111" s="65" t="str">
        <x:v>Central</x:v>
      </x:c>
      <x:c r="I111" s="65" t="str">
        <x:v>Referral</x:v>
      </x:c>
      <x:c r="J111" s="65" t="str">
        <x:v>Nonprofit</x:v>
      </x:c>
      <x:c r="K111" s="65" t="str">
        <x:v>Prospect</x:v>
      </x:c>
      <x:c r="L111" s="66" t="n">
        <x:v>46260</x:v>
      </x:c>
      <x:c r="M111" s="65" t="str">
        <x:v>L. Brooks</x:v>
      </x:c>
      <x:c r="N111" s="67" t="str">
        <x:v>Existing contact</x:v>
      </x:c>
    </x:row>
    <x:row r="112" ht="21" customHeight="1">
      <x:c r="A112" s="68" t="str">
        <x:v>C-2108</x:v>
      </x:c>
      <x:c r="B112" s="69" t="str">
        <x:v>  Lucas  </x:v>
      </x:c>
      <x:c r="C112" s="69" t="str">
        <x:v>Diaz</x:v>
      </x:c>
      <x:c r="D112" s="69" t="str">
        <x:v>Red Kite Market</x:v>
      </x:c>
      <x:c r="E112" s="69" t="str">
        <x:v>lucas.diaz1107@redkitemarket.test</x:v>
      </x:c>
      <x:c r="F112" s="69" t="str">
        <x:v>202 555 1107</x:v>
      </x:c>
      <x:c r="G112" s="69" t="str">
        <x:v>Canada</x:v>
      </x:c>
      <x:c r="H112" s="69" t="str">
        <x:v>Far West</x:v>
      </x:c>
      <x:c r="I112" s="69" t="str">
        <x:v>Trade show</x:v>
      </x:c>
      <x:c r="J112" s="69" t="str">
        <x:v>Mid-market</x:v>
      </x:c>
      <x:c r="K112" s="69" t="str">
        <x:v>Inactive</x:v>
      </x:c>
      <x:c r="L112" s="70" t="n">
        <x:v>46292</x:v>
      </x:c>
      <x:c r="M112" s="69" t="str">
        <x:v>R. Shah</x:v>
      </x:c>
      <x:c r="N112" s="71" t="str">
        <x:v>Account update</x:v>
      </x:c>
    </x:row>
    <x:row r="113" ht="21" customHeight="1">
      <x:c r="A113" s="64" t="str">
        <x:v>C-2109</x:v>
      </x:c>
      <x:c r="B113" s="65" t="str">
        <x:v>Emma</x:v>
      </x:c>
      <x:c r="C113" s="65" t="str">
        <x:v>Okafor</x:v>
      </x:c>
      <x:c r="D113" s="65" t="str">
        <x:v>Moss &amp; Morrow</x:v>
      </x:c>
      <x:c r="E113" s="65" t="str">
        <x:v>emma.okafor1108@mossmorrow.test</x:v>
      </x:c>
      <x:c r="F113" s="65" t="str">
        <x:v>+1 (202) 555-1108</x:v>
      </x:c>
      <x:c r="G113" s="65" t="str">
        <x:v>India</x:v>
      </x:c>
      <x:c r="H113" s="65" t="str">
        <x:v>South</x:v>
      </x:c>
      <x:c r="I113" s="65" t="str">
        <x:v>Outbound</x:v>
      </x:c>
      <x:c r="J113" s="65" t="str">
        <x:v>Education</x:v>
      </x:c>
      <x:c r="K113" s="65" t="str">
        <x:v>Active</x:v>
      </x:c>
      <x:c r="L113" s="66" t="n">
        <x:v>46023</x:v>
      </x:c>
      <x:c r="M113" s="65" t="str">
        <x:v>M. Rivera</x:v>
      </x:c>
      <x:c r="N113" s="67" t="str">
        <x:v>New lead</x:v>
      </x:c>
    </x:row>
    <x:row r="114" ht="21" customHeight="1">
      <x:c r="A114" s="68" t="str">
        <x:v>C-2110</x:v>
      </x:c>
      <x:c r="B114" s="69" t="str">
        <x:v>Arjun</x:v>
      </x:c>
      <x:c r="C114" s="69" t="str">
        <x:v>Wright</x:v>
      </x:c>
      <x:c r="D114" s="69" t="str">
        <x:v> BRIDGEWELL SERVICES </x:v>
      </x:c>
      <x:c r="E114" s="69" t="str">
        <x:v>arjun.wright1109@bridgewellservices.test</x:v>
      </x:c>
      <x:c r="F114" s="69" t="str">
        <x:v>+1-415-555-1109</x:v>
      </x:c>
      <x:c r="G114" s="69" t="str">
        <x:v>United Kingdom</x:v>
      </x:c>
      <x:c r="H114" s="69" t="str">
        <x:v>West</x:v>
      </x:c>
      <x:c r="I114" s="69" t="str">
        <x:v>Partner</x:v>
      </x:c>
      <x:c r="J114" s="69" t="str">
        <x:v>Enterprise</x:v>
      </x:c>
      <x:c r="K114" s="69" t="str">
        <x:v>Prospect</x:v>
      </x:c>
      <x:c r="L114" s="70" t="n">
        <x:v>46055</x:v>
      </x:c>
      <x:c r="M114" s="69" t="str">
        <x:v>K. Evans</x:v>
      </x:c>
      <x:c r="N114" s="71" t="str">
        <x:v>Existing contact</x:v>
      </x:c>
    </x:row>
    <x:row r="115" ht="21" customHeight="1">
      <x:c r="A115" s="64" t="str">
        <x:v>C-2111</x:v>
      </x:c>
      <x:c r="B115" s="65" t="str">
        <x:v>Grace</x:v>
      </x:c>
      <x:c r="C115" s="65" t="str">
        <x:v> FOX </x:v>
      </x:c>
      <x:c r="D115" s="65" t="str">
        <x:v>atlas paper</x:v>
      </x:c>
      <x:c r="E115" s="65" t="str">
        <x:v>grace.fox1110@atlaspaper.test</x:v>
      </x:c>
      <x:c r="F115" s="65" t="str">
        <x:v>202 555 1110</x:v>
      </x:c>
      <x:c r="G115" s="65" t="str">
        <x:v>United States</x:v>
      </x:c>
      <x:c r="H115" s="65" t="str">
        <x:v>North</x:v>
      </x:c>
      <x:c r="I115" s="65" t="str">
        <x:v>Website</x:v>
      </x:c>
      <x:c r="J115" s="65" t="str">
        <x:v>Small business</x:v>
      </x:c>
      <x:c r="K115" s="65" t="str">
        <x:v>Inactive</x:v>
      </x:c>
      <x:c r="L115" s="66" t="n">
        <x:v>46084</x:v>
      </x:c>
      <x:c r="M115" s="65" t="str">
        <x:v>A. Patel</x:v>
      </x:c>
      <x:c r="N115" s="67" t="str">
        <x:v>Account update</x:v>
      </x:c>
    </x:row>
    <x:row r="116" ht="21" customHeight="1">
      <x:c r="A116" s="68" t="str">
        <x:v>C-2112</x:v>
      </x:c>
      <x:c r="B116" s="69" t="str">
        <x:v>Daniel</x:v>
      </x:c>
      <x:c r="C116" s="69" t="str">
        <x:v>patel</x:v>
      </x:c>
      <x:c r="D116" s="69" t="str">
        <x:v>  Evergreen Kitchen  </x:v>
      </x:c>
      <x:c r="E116" s="69" t="str">
        <x:v>daniel.patel1111@evergreenkitchen.test</x:v>
      </x:c>
      <x:c r="F116" s="69" t="str">
        <x:v>+1 (202) 555-1111</x:v>
      </x:c>
      <x:c r="G116" s="69" t="str">
        <x:v>Australia</x:v>
      </x:c>
      <x:c r="H116" s="69" t="str">
        <x:v>Central</x:v>
      </x:c>
      <x:c r="I116" s="69" t="str">
        <x:v>Referral</x:v>
      </x:c>
      <x:c r="J116" s="69" t="str">
        <x:v>Nonprofit</x:v>
      </x:c>
      <x:c r="K116" s="69" t="str">
        <x:v>Active</x:v>
      </x:c>
      <x:c r="L116" s="70" t="n">
        <x:v>46116</x:v>
      </x:c>
      <x:c r="M116" s="69" t="str">
        <x:v>L. Brooks</x:v>
      </x:c>
      <x:c r="N116" s="71" t="str">
        <x:v>New lead</x:v>
      </x:c>
    </x:row>
    <x:row r="117" ht="21" customHeight="1">
      <x:c r="A117" s="64" t="str">
        <x:v>C-2113</x:v>
      </x:c>
      <x:c r="B117" s="65" t="str">
        <x:v> FREYA </x:v>
      </x:c>
      <x:c r="C117" s="65" t="str">
        <x:v>  Haddad  </x:v>
      </x:c>
      <x:c r="D117" s="65" t="str">
        <x:v>Cedar &amp; Finch</x:v>
      </x:c>
      <x:c r="E117" s="65" t="str">
        <x:v>freya.haddad1112@cedarfinch.test</x:v>
      </x:c>
      <x:c r="F117" s="65" t="str">
        <x:v>+1-415-555-1112</x:v>
      </x:c>
      <x:c r="G117" s="65" t="str">
        <x:v>Canada</x:v>
      </x:c>
      <x:c r="H117" s="65" t="str">
        <x:v>International</x:v>
      </x:c>
      <x:c r="I117" s="65" t="str">
        <x:v>Trade show</x:v>
      </x:c>
      <x:c r="J117" s="65" t="str">
        <x:v>Mid-market</x:v>
      </x:c>
      <x:c r="K117" s="65" t="str">
        <x:v>Prospect</x:v>
      </x:c>
      <x:c r="L117" s="66" t="n">
        <x:v>46147</x:v>
      </x:c>
      <x:c r="M117" s="65" t="str">
        <x:v>R. Shah</x:v>
      </x:c>
      <x:c r="N117" s="67" t="str">
        <x:v>Existing contact</x:v>
      </x:c>
    </x:row>
    <x:row r="118" ht="21" customHeight="1">
      <x:c r="A118" s="68" t="str">
        <x:v>C-2114</x:v>
      </x:c>
      <x:c r="B118" s="69" t="str">
        <x:v>theo</x:v>
      </x:c>
      <x:c r="C118" s="69" t="str">
        <x:v>Khan</x:v>
      </x:c>
      <x:c r="D118" s="69" t="str">
        <x:v>Fieldstone Home</x:v>
      </x:c>
      <x:c r="E118" s="69" t="str">
        <x:v>theo.khan1113@fieldstonehome.test</x:v>
      </x:c>
      <x:c r="F118" s="69" t="str">
        <x:v>202 555 1113</x:v>
      </x:c>
      <x:c r="G118" s="69" t="str">
        <x:v>India</x:v>
      </x:c>
      <x:c r="H118" s="69" t="str">
        <x:v>South</x:v>
      </x:c>
      <x:c r="I118" s="69" t="str">
        <x:v>Outbound</x:v>
      </x:c>
      <x:c r="J118" s="69" t="str">
        <x:v>Education</x:v>
      </x:c>
      <x:c r="K118" s="69" t="str">
        <x:v>Inactive</x:v>
      </x:c>
      <x:c r="L118" s="70"/>
      <x:c r="M118" s="69" t="str">
        <x:v>M. Rivera</x:v>
      </x:c>
      <x:c r="N118" s="71" t="str">
        <x:v>Account update</x:v>
      </x:c>
    </x:row>
    <x:row r="119" ht="21" customHeight="1">
      <x:c r="A119" s="64" t="str">
        <x:v>C-2115</x:v>
      </x:c>
      <x:c r="B119" s="65" t="str">
        <x:v>  Anika  </x:v>
      </x:c>
      <x:c r="C119" s="65" t="str">
        <x:v>Mehta</x:v>
      </x:c>
      <x:c r="D119" s="65" t="str">
        <x:v>Maple Row</x:v>
      </x:c>
      <x:c r="E119" s="65" t="str">
        <x:v>anika.mehta1114@maplerow.test</x:v>
      </x:c>
      <x:c r="F119" s="65" t="str">
        <x:v>+1 (202) 555-1114</x:v>
      </x:c>
      <x:c r="G119" s="65" t="str">
        <x:v>United Kingdom</x:v>
      </x:c>
      <x:c r="H119" s="65" t="str">
        <x:v>West</x:v>
      </x:c>
      <x:c r="I119" s="65" t="str">
        <x:v>Partner</x:v>
      </x:c>
      <x:c r="J119" s="65" t="str">
        <x:v>Enterprise</x:v>
      </x:c>
      <x:c r="K119" s="65" t="str">
        <x:v>Active</x:v>
      </x:c>
      <x:c r="L119" s="66" t="n">
        <x:v>46210</x:v>
      </x:c>
      <x:c r="M119" s="65" t="str">
        <x:v>K. Evans</x:v>
      </x:c>
      <x:c r="N119" s="67" t="str">
        <x:v>New lead</x:v>
      </x:c>
    </x:row>
    <x:row r="120" ht="21" customHeight="1">
      <x:c r="A120" s="68" t="str">
        <x:v>C-2116</x:v>
      </x:c>
      <x:c r="B120" s="69" t="str">
        <x:v>Miles</x:v>
      </x:c>
      <x:c r="C120" s="69" t="str">
        <x:v>Bennett</x:v>
      </x:c>
      <x:c r="D120" s="69" t="str">
        <x:v>Silver Birch Co</x:v>
      </x:c>
      <x:c r="E120" s="69" t="str">
        <x:v>miles.bennett1115@silverbirchco.test</x:v>
      </x:c>
      <x:c r="F120" s="69" t="str">
        <x:v>+1-415-555-1115</x:v>
      </x:c>
      <x:c r="G120" s="69" t="str">
        <x:v>United States</x:v>
      </x:c>
      <x:c r="H120" s="69" t="str">
        <x:v>North</x:v>
      </x:c>
      <x:c r="I120" s="69" t="str">
        <x:v>Website</x:v>
      </x:c>
      <x:c r="J120" s="69" t="str">
        <x:v>Small business</x:v>
      </x:c>
      <x:c r="K120" s="69" t="str">
        <x:v>Prospect</x:v>
      </x:c>
      <x:c r="L120" s="70" t="n">
        <x:v>46242</x:v>
      </x:c>
      <x:c r="M120" s="69" t="str">
        <x:v>A. Patel</x:v>
      </x:c>
      <x:c r="N120" s="71" t="str">
        <x:v>Existing contact</x:v>
      </x:c>
    </x:row>
    <x:row r="121" ht="21" customHeight="1">
      <x:c r="A121" s="64" t="str">
        <x:v>C-2117</x:v>
      </x:c>
      <x:c r="B121" s="65" t="str">
        <x:v>Talia</x:v>
      </x:c>
      <x:c r="C121" s="65" t="str">
        <x:v>Nair</x:v>
      </x:c>
      <x:c r="D121" s="65" t="str">
        <x:v> EAST BAY BOOKS </x:v>
      </x:c>
      <x:c r="E121" s="65" t="str">
        <x:v>talia.nair1116@eastbaybooks.test</x:v>
      </x:c>
      <x:c r="F121" s="65" t="str">
        <x:v>202 555 1116</x:v>
      </x:c>
      <x:c r="G121" s="65" t="str">
        <x:v>Australia</x:v>
      </x:c>
      <x:c r="H121" s="65" t="str">
        <x:v>Central</x:v>
      </x:c>
      <x:c r="I121" s="65" t="str">
        <x:v>Referral</x:v>
      </x:c>
      <x:c r="J121" s="65" t="str">
        <x:v>Nonprofit</x:v>
      </x:c>
      <x:c r="K121" s="65" t="str">
        <x:v>Inactive</x:v>
      </x:c>
      <x:c r="L121" s="66" t="n">
        <x:v>46274</x:v>
      </x:c>
      <x:c r="M121" s="65" t="str">
        <x:v>L. Brooks</x:v>
      </x:c>
      <x:c r="N121" s="67" t="str">
        <x:v>Account update</x:v>
      </x:c>
    </x:row>
    <x:row r="122" ht="21" customHeight="1">
      <x:c r="A122" s="68" t="str">
        <x:v>C-2118</x:v>
      </x:c>
      <x:c r="B122" s="69" t="str">
        <x:v>Ravi</x:v>
      </x:c>
      <x:c r="C122" s="69" t="str">
        <x:v> KIM </x:v>
      </x:c>
      <x:c r="D122" s="69" t="str">
        <x:v>tandem outfitters</x:v>
      </x:c>
      <x:c r="E122" s="69" t="str">
        <x:v>ravi.kim1117@tandemoutfitters.test</x:v>
      </x:c>
      <x:c r="F122" s="69" t="str">
        <x:v>+1 (202) 555-1117</x:v>
      </x:c>
      <x:c r="G122" s="69" t="str">
        <x:v>Canada</x:v>
      </x:c>
      <x:c r="H122" s="69" t="str">
        <x:v>International</x:v>
      </x:c>
      <x:c r="I122" s="69" t="str">
        <x:v>Trade show</x:v>
      </x:c>
      <x:c r="J122" s="69" t="str">
        <x:v>Mid-market</x:v>
      </x:c>
      <x:c r="K122" s="69" t="str">
        <x:v>Active</x:v>
      </x:c>
      <x:c r="L122" s="70" t="n">
        <x:v>46032</x:v>
      </x:c>
      <x:c r="M122" s="69" t="str">
        <x:v>R. Shah</x:v>
      </x:c>
      <x:c r="N122" s="71" t="str">
        <x:v>New lead</x:v>
      </x:c>
    </x:row>
    <x:row r="123" ht="21" customHeight="1">
      <x:c r="A123" s="64" t="str">
        <x:v>C-2119</x:v>
      </x:c>
      <x:c r="B123" s="65" t="str">
        <x:v>Elena</x:v>
      </x:c>
      <x:c r="C123" s="65" t="str">
        <x:v>brown</x:v>
      </x:c>
      <x:c r="D123" s="65" t="str">
        <x:v>  Willow &amp; West  </x:v>
      </x:c>
      <x:c r="E123" s="65" t="str">
        <x:v>elena.brown1118@willowwest.test</x:v>
      </x:c>
      <x:c r="F123" s="65" t="str">
        <x:v>+1-415-555-1118</x:v>
      </x:c>
      <x:c r="G123" s="65" t="str">
        <x:v>India</x:v>
      </x:c>
      <x:c r="H123" s="65" t="str">
        <x:v>South</x:v>
      </x:c>
      <x:c r="I123" s="65" t="str">
        <x:v>Outbound</x:v>
      </x:c>
      <x:c r="J123" s="65" t="str">
        <x:v>Education</x:v>
      </x:c>
      <x:c r="K123" s="65" t="str">
        <x:v>Prospect</x:v>
      </x:c>
      <x:c r="L123" s="66" t="n">
        <x:v>46064</x:v>
      </x:c>
      <x:c r="M123" s="65" t="str">
        <x:v>M. Rivera</x:v>
      </x:c>
      <x:c r="N123" s="67" t="str">
        <x:v>Existing contact</x:v>
      </x:c>
    </x:row>
    <x:row r="124" ht="21" customHeight="1">
      <x:c r="A124" s="68" t="str">
        <x:v>C-2120</x:v>
      </x:c>
      <x:c r="B124" s="69" t="str">
        <x:v> SAM </x:v>
      </x:c>
      <x:c r="C124" s="69" t="str">
        <x:v>  Shah  </x:v>
      </x:c>
      <x:c r="D124" s="69" t="str">
        <x:v>Solstice Supply</x:v>
      </x:c>
      <x:c r="E124" s="69" t="str">
        <x:v>sam.shah1119@solsticesupply.test</x:v>
      </x:c>
      <x:c r="F124" s="69" t="str">
        <x:v>202 555 1119</x:v>
      </x:c>
      <x:c r="G124" s="69" t="str">
        <x:v>United Kingdom</x:v>
      </x:c>
      <x:c r="H124" s="69" t="str">
        <x:v>West</x:v>
      </x:c>
      <x:c r="I124" s="69" t="str">
        <x:v>Partner</x:v>
      </x:c>
      <x:c r="J124" s="69" t="str">
        <x:v>Enterprise</x:v>
      </x:c>
      <x:c r="K124" s="69" t="str">
        <x:v>Inactive</x:v>
      </x:c>
      <x:c r="L124" s="70" t="n">
        <x:v>46093</x:v>
      </x:c>
      <x:c r="M124" s="69" t="str">
        <x:v>K. Evans</x:v>
      </x:c>
      <x:c r="N124" s="71" t="str">
        <x:v>Account update</x:v>
      </x:c>
    </x:row>
  </x:sheetData>
  <x:dataValidations count="6">
    <x:dataValidation type="list" sqref="G5:G124">
      <x:formula1>"United States,Canada,United Kingdom,Australia,India"</x:formula1>
    </x:dataValidation>
    <x:dataValidation type="list" sqref="H5:H124">
      <x:formula1>"North,South,Central,West,International"</x:formula1>
    </x:dataValidation>
    <x:dataValidation type="list" sqref="I5:I124">
      <x:formula1>"Website,Referral,Trade show,Outbound,Partner"</x:formula1>
    </x:dataValidation>
    <x:dataValidation type="list" sqref="J5:J124">
      <x:formula1>"Small business,Mid-market,Enterprise,Nonprofit,Education"</x:formula1>
    </x:dataValidation>
    <x:dataValidation type="list" sqref="K5:K124">
      <x:formula1>"Active,Prospect,Inactive"</x:formula1>
    </x:dataValidation>
    <x:dataValidation type="list" sqref="N5:N124">
      <x:formula1>"New lead,Existing contact,Account update"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8c151ccdef4c8d"/>
  </x:tableParts>
</x:worksheet>
</file>

<file path=xl/worksheets/sheet3.xml><?xml version="1.0" encoding="utf-8"?>
<x:worksheet xmlns:x="http://schemas.openxmlformats.org/spreadsheetml/2006/main">
  <x:sheetPr>
    <x:tabColor rgb="FF148A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5" hidden="0" customWidth="1"/>
    <x:col min="5" max="5" width="26" hidden="0" customWidth="1"/>
    <x:col min="6" max="6" width="39" hidden="0" customWidth="1"/>
    <x:col min="7" max="7" width="22" hidden="0" customWidth="1"/>
    <x:col min="8" max="8" width="20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6" hidden="0" customWidth="1"/>
    <x:col min="14" max="14" width="16" hidden="0" customWidth="1"/>
    <x:col min="15" max="15" width="26" hidden="0" customWidth="1"/>
  </x:cols>
  <x:sheetData>
    <x:row r="1" ht="27" customHeight="1">
      <x:c r="A1" s="72" t="str">
        <x:v>Normalized CRM import file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</x:row>
    <x:row r="2" ht="24" customHeight="1">
      <x:c r="A2" s="16" t="str">
        <x:v>Blue cells are formula-driven. Filter Import Status to Ready before a mock CSV export.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4" ht="30" customHeight="1">
      <x:c r="A4" s="73" t="str">
        <x:v>Record ID</x:v>
      </x:c>
      <x:c r="B4" s="73" t="str">
        <x:v>First Name</x:v>
      </x:c>
      <x:c r="C4" s="73" t="str">
        <x:v>Last Name</x:v>
      </x:c>
      <x:c r="D4" s="73" t="str">
        <x:v>Contact Name</x:v>
      </x:c>
      <x:c r="E4" s="73" t="str">
        <x:v>Organization</x:v>
      </x:c>
      <x:c r="F4" s="73" t="str">
        <x:v>Email</x:v>
      </x:c>
      <x:c r="G4" s="73" t="str">
        <x:v>Phone</x:v>
      </x:c>
      <x:c r="H4" s="73" t="str">
        <x:v>Country</x:v>
      </x:c>
      <x:c r="I4" s="73" t="str">
        <x:v>Territory</x:v>
      </x:c>
      <x:c r="J4" s="73" t="str">
        <x:v>Lead Source</x:v>
      </x:c>
      <x:c r="K4" s="73" t="str">
        <x:v>Customer Segment</x:v>
      </x:c>
      <x:c r="L4" s="73" t="str">
        <x:v>Account Status</x:v>
      </x:c>
      <x:c r="M4" s="73" t="str">
        <x:v>Date Added</x:v>
      </x:c>
      <x:c r="N4" s="73" t="str">
        <x:v>Entered By</x:v>
      </x:c>
      <x:c r="O4" s="73" t="str">
        <x:v>Import Status</x:v>
      </x:c>
    </x:row>
    <x:row r="5" ht="21" customHeight="1">
      <x:c r="A5" s="74" t="str">
        <x:f>'Entry Queue'!A5</x:f>
        <x:v>C-2001</x:v>
      </x:c>
      <x:c r="B5" s="74" t="str">
        <x:f>IF('Entry Queue'!B5="","",PROPER(TRIM('Entry Queue'!B5)))</x:f>
        <x:v>Maya</x:v>
      </x:c>
      <x:c r="C5" s="74" t="str">
        <x:f>IF('Entry Queue'!C5="","",PROPER(TRIM('Entry Queue'!C5)))</x:f>
        <x:v>Chen</x:v>
      </x:c>
      <x:c r="D5" s="74" t="str">
        <x:f>IF(OR(B5="",C5=""),"",B5&amp;" "&amp;C5)</x:f>
        <x:v>Maya Chen</x:v>
      </x:c>
      <x:c r="E5" s="74" t="str">
        <x:f>IF('Entry Queue'!D5="","",PROPER(TRIM('Entry Queue'!D5)))</x:f>
        <x:v>Northstar Supply</x:v>
      </x:c>
      <x:c r="F5" s="74" t="str">
        <x:f>IF('Entry Queue'!E5="","",LOWER(TRIM('Entry Queue'!E5)))</x:f>
        <x:v>maya.chen1000@northstarsupply.test</x:v>
      </x:c>
      <x:c r="G5" s="74" t="str">
        <x:f>TRIM('Entry Queue'!F5)</x:f>
        <x:v>+1 (202) 555-1000</x:v>
      </x:c>
      <x:c r="H5" s="74" t="str">
        <x:f>IF('Entry Queue'!G5="","",PROPER(TRIM('Entry Queue'!G5)))</x:f>
        <x:v>United States</x:v>
      </x:c>
      <x:c r="I5" s="74" t="str">
        <x:f>IF('Entry Queue'!H5="","",PROPER(TRIM('Entry Queue'!H5)))</x:f>
        <x:v>North</x:v>
      </x:c>
      <x:c r="J5" s="74" t="str">
        <x:f>TRIM('Entry Queue'!I5)</x:f>
        <x:v>Website</x:v>
      </x:c>
      <x:c r="K5" s="74" t="str">
        <x:f>TRIM('Entry Queue'!J5)</x:f>
        <x:v>Small business</x:v>
      </x:c>
      <x:c r="L5" s="74" t="str">
        <x:f>TRIM('Entry Queue'!K5)</x:f>
        <x:v>Active</x:v>
      </x:c>
      <x:c r="M5" s="75" t="n">
        <x:f>'Entry Queue'!L5</x:f>
        <x:v>46023</x:v>
      </x:c>
      <x:c r="N5" s="74" t="str">
        <x:f>'Entry Queue'!M5</x:f>
        <x:v>A. Patel</x:v>
      </x:c>
      <x:c r="O5" s="76" t="str">
        <x:f>'QC Checks'!I5</x:f>
        <x:v>Duplicate record ID</x:v>
      </x:c>
    </x:row>
    <x:row r="6" ht="21" customHeight="1">
      <x:c r="A6" s="77" t="str">
        <x:f>'Entry Queue'!A6</x:f>
        <x:v>C-2002</x:v>
      </x:c>
      <x:c r="B6" s="77" t="str">
        <x:f>IF('Entry Queue'!B6="","",PROPER(TRIM('Entry Queue'!B6)))</x:f>
        <x:v>Jonah</x:v>
      </x:c>
      <x:c r="C6" s="77" t="str">
        <x:f>IF('Entry Queue'!C6="","",PROPER(TRIM('Entry Queue'!C6)))</x:f>
        <x:v>Cole</x:v>
      </x:c>
      <x:c r="D6" s="77" t="str">
        <x:f>IF(OR(B6="",C6=""),"",B6&amp;" "&amp;C6)</x:f>
        <x:v>Jonah Cole</x:v>
      </x:c>
      <x:c r="E6" s="77" t="str">
        <x:f>IF('Entry Queue'!D6="","",PROPER(TRIM('Entry Queue'!D6)))</x:f>
        <x:v>Meridian Goods</x:v>
      </x:c>
      <x:c r="F6" s="77" t="str">
        <x:f>IF('Entry Queue'!E6="","",LOWER(TRIM('Entry Queue'!E6)))</x:f>
        <x:v>jonah.cole1001@meridiangoods.test</x:v>
      </x:c>
      <x:c r="G6" s="77" t="str">
        <x:f>TRIM('Entry Queue'!F6)</x:f>
        <x:v>+1-415-555-1001</x:v>
      </x:c>
      <x:c r="H6" s="77" t="str">
        <x:f>IF('Entry Queue'!G6="","",PROPER(TRIM('Entry Queue'!G6)))</x:f>
        <x:v>Australia</x:v>
      </x:c>
      <x:c r="I6" s="77" t="str">
        <x:f>IF('Entry Queue'!H6="","",PROPER(TRIM('Entry Queue'!H6)))</x:f>
        <x:v>Central</x:v>
      </x:c>
      <x:c r="J6" s="77" t="str">
        <x:f>TRIM('Entry Queue'!I6)</x:f>
        <x:v>Referral</x:v>
      </x:c>
      <x:c r="K6" s="77" t="str">
        <x:f>TRIM('Entry Queue'!J6)</x:f>
        <x:v>Nonprofit</x:v>
      </x:c>
      <x:c r="L6" s="77" t="str">
        <x:f>TRIM('Entry Queue'!K6)</x:f>
        <x:v>Prospect</x:v>
      </x:c>
      <x:c r="M6" s="78" t="n">
        <x:f>'Entry Queue'!L6</x:f>
        <x:v>46055</x:v>
      </x:c>
      <x:c r="N6" s="77" t="str">
        <x:f>'Entry Queue'!M6</x:f>
        <x:v>L. Brooks</x:v>
      </x:c>
      <x:c r="O6" s="79" t="str">
        <x:f>'QC Checks'!I6</x:f>
        <x:v>Ready</x:v>
      </x:c>
    </x:row>
    <x:row r="7" ht="21" customHeight="1">
      <x:c r="A7" s="74" t="str">
        <x:f>'Entry Queue'!A7</x:f>
        <x:v>C-2003</x:v>
      </x:c>
      <x:c r="B7" s="74" t="str">
        <x:f>IF('Entry Queue'!B7="","",PROPER(TRIM('Entry Queue'!B7)))</x:f>
        <x:v>Priya</x:v>
      </x:c>
      <x:c r="C7" s="74" t="str">
        <x:f>IF('Entry Queue'!C7="","",PROPER(TRIM('Entry Queue'!C7)))</x:f>
        <x:v>Mahmood</x:v>
      </x:c>
      <x:c r="D7" s="74" t="str">
        <x:f>IF(OR(B7="",C7=""),"",B7&amp;" "&amp;C7)</x:f>
        <x:v>Priya Mahmood</x:v>
      </x:c>
      <x:c r="E7" s="74" t="str">
        <x:f>IF('Entry Queue'!D7="","",PROPER(TRIM('Entry Queue'!D7)))</x:f>
        <x:v>Sunbeam Stationery</x:v>
      </x:c>
      <x:c r="F7" s="74" t="str">
        <x:f>IF('Entry Queue'!E7="","",LOWER(TRIM('Entry Queue'!E7)))</x:f>
        <x:v>priya.mahmood1002@sunbeamstationery.test</x:v>
      </x:c>
      <x:c r="G7" s="74" t="str">
        <x:f>TRIM('Entry Queue'!F7)</x:f>
        <x:v>202 555 1002</x:v>
      </x:c>
      <x:c r="H7" s="74" t="str">
        <x:f>IF('Entry Queue'!G7="","",PROPER(TRIM('Entry Queue'!G7)))</x:f>
        <x:v>Canada</x:v>
      </x:c>
      <x:c r="I7" s="74" t="str">
        <x:f>IF('Entry Queue'!H7="","",PROPER(TRIM('Entry Queue'!H7)))</x:f>
        <x:v>International</x:v>
      </x:c>
      <x:c r="J7" s="74" t="str">
        <x:f>TRIM('Entry Queue'!I7)</x:f>
        <x:v>Trade show</x:v>
      </x:c>
      <x:c r="K7" s="74" t="str">
        <x:f>TRIM('Entry Queue'!J7)</x:f>
        <x:v>Mid-market</x:v>
      </x:c>
      <x:c r="L7" s="74" t="str">
        <x:f>TRIM('Entry Queue'!K7)</x:f>
        <x:v>Inactive</x:v>
      </x:c>
      <x:c r="M7" s="75" t="n">
        <x:f>'Entry Queue'!L7</x:f>
        <x:v>46084</x:v>
      </x:c>
      <x:c r="N7" s="74" t="str">
        <x:f>'Entry Queue'!M7</x:f>
        <x:v>R. Shah</x:v>
      </x:c>
      <x:c r="O7" s="76" t="str">
        <x:f>'QC Checks'!I7</x:f>
        <x:v>Ready</x:v>
      </x:c>
    </x:row>
    <x:row r="8" ht="21" customHeight="1">
      <x:c r="A8" s="77" t="str">
        <x:f>'Entry Queue'!A8</x:f>
        <x:v>C-2004</x:v>
      </x:c>
      <x:c r="B8" s="77" t="str">
        <x:f>IF('Entry Queue'!B8="","",PROPER(TRIM('Entry Queue'!B8)))</x:f>
        <x:v>Owen</x:v>
      </x:c>
      <x:c r="C8" s="77" t="str">
        <x:f>IF('Entry Queue'!C8="","",PROPER(TRIM('Entry Queue'!C8)))</x:f>
        <x:v>Olsen</x:v>
      </x:c>
      <x:c r="D8" s="77" t="str">
        <x:f>IF(OR(B8="",C8=""),"",B8&amp;" "&amp;C8)</x:f>
        <x:v>Owen Olsen</x:v>
      </x:c>
      <x:c r="E8" s="77" t="str">
        <x:f>IF('Entry Queue'!D8="","",PROPER(TRIM('Entry Queue'!D8)))</x:f>
        <x:v>Juniper Retail</x:v>
      </x:c>
      <x:c r="F8" s="77" t="str">
        <x:f>IF('Entry Queue'!E8="","",LOWER(TRIM('Entry Queue'!E8)))</x:f>
        <x:v>owen.olsen1003@juniperretail.test</x:v>
      </x:c>
      <x:c r="G8" s="77" t="str">
        <x:f>TRIM('Entry Queue'!F8)</x:f>
        <x:v>+1 (202) 555-1003</x:v>
      </x:c>
      <x:c r="H8" s="77" t="str">
        <x:f>IF('Entry Queue'!G8="","",PROPER(TRIM('Entry Queue'!G8)))</x:f>
        <x:v>India</x:v>
      </x:c>
      <x:c r="I8" s="77" t="str">
        <x:f>IF('Entry Queue'!H8="","",PROPER(TRIM('Entry Queue'!H8)))</x:f>
        <x:v>South</x:v>
      </x:c>
      <x:c r="J8" s="77" t="str">
        <x:f>TRIM('Entry Queue'!I8)</x:f>
        <x:v>Outbound</x:v>
      </x:c>
      <x:c r="K8" s="77" t="str">
        <x:f>TRIM('Entry Queue'!J8)</x:f>
        <x:v>Education</x:v>
      </x:c>
      <x:c r="L8" s="77" t="str">
        <x:f>TRIM('Entry Queue'!K8)</x:f>
        <x:v>Active</x:v>
      </x:c>
      <x:c r="M8" s="78" t="n">
        <x:f>'Entry Queue'!L8</x:f>
        <x:v>46116</x:v>
      </x:c>
      <x:c r="N8" s="77" t="str">
        <x:f>'Entry Queue'!M8</x:f>
        <x:v>M. Rivera</x:v>
      </x:c>
      <x:c r="O8" s="79" t="str">
        <x:f>'QC Checks'!I8</x:f>
        <x:v>Ready</x:v>
      </x:c>
    </x:row>
    <x:row r="9" ht="21" customHeight="1">
      <x:c r="A9" s="74" t="str">
        <x:f>'Entry Queue'!A9</x:f>
        <x:v>C-2005</x:v>
      </x:c>
      <x:c r="B9" s="74" t="str">
        <x:f>IF('Entry Queue'!B9="","",PROPER(TRIM('Entry Queue'!B9)))</x:f>
        <x:v>Leila</x:v>
      </x:c>
      <x:c r="C9" s="74" t="str">
        <x:f>IF('Entry Queue'!C9="","",PROPER(TRIM('Entry Queue'!C9)))</x:f>
        <x:v>Clark</x:v>
      </x:c>
      <x:c r="D9" s="74" t="str">
        <x:f>IF(OR(B9="",C9=""),"",B9&amp;" "&amp;C9)</x:f>
        <x:v>Leila Clark</x:v>
      </x:c>
      <x:c r="E9" s="74" t="str">
        <x:f>IF('Entry Queue'!D9="","",PROPER(TRIM('Entry Queue'!D9)))</x:f>
        <x:v>Brightwell Design</x:v>
      </x:c>
      <x:c r="F9" s="74" t="str">
        <x:f>IF('Entry Queue'!E9="","",LOWER(TRIM('Entry Queue'!E9)))</x:f>
        <x:v>leila.clark1004@brightwelldesign.test</x:v>
      </x:c>
      <x:c r="G9" s="74" t="str">
        <x:f>TRIM('Entry Queue'!F9)</x:f>
        <x:v>+1-415-555-1004</x:v>
      </x:c>
      <x:c r="H9" s="74" t="str">
        <x:f>IF('Entry Queue'!G9="","",PROPER(TRIM('Entry Queue'!G9)))</x:f>
        <x:v>United Kingdom</x:v>
      </x:c>
      <x:c r="I9" s="74" t="str">
        <x:f>IF('Entry Queue'!H9="","",PROPER(TRIM('Entry Queue'!H9)))</x:f>
        <x:v>West</x:v>
      </x:c>
      <x:c r="J9" s="74" t="str">
        <x:f>TRIM('Entry Queue'!I9)</x:f>
        <x:v>Partner</x:v>
      </x:c>
      <x:c r="K9" s="74" t="str">
        <x:f>TRIM('Entry Queue'!J9)</x:f>
        <x:v>Enterprise</x:v>
      </x:c>
      <x:c r="L9" s="74" t="str">
        <x:f>TRIM('Entry Queue'!K9)</x:f>
        <x:v>Prospect</x:v>
      </x:c>
      <x:c r="M9" s="75" t="n">
        <x:f>'Entry Queue'!L9</x:f>
        <x:v>46147</x:v>
      </x:c>
      <x:c r="N9" s="74" t="str">
        <x:f>'Entry Queue'!M9</x:f>
        <x:v>K. Evans</x:v>
      </x:c>
      <x:c r="O9" s="76" t="str">
        <x:f>'QC Checks'!I9</x:f>
        <x:v>Ready</x:v>
      </x:c>
    </x:row>
    <x:row r="10" ht="21" customHeight="1">
      <x:c r="A10" s="77" t="str">
        <x:f>'Entry Queue'!A10</x:f>
        <x:v>C-2006</x:v>
      </x:c>
      <x:c r="B10" s="77" t="str">
        <x:f>IF('Entry Queue'!B10="","",PROPER(TRIM('Entry Queue'!B10)))</x:f>
        <x:v>Mateo</x:v>
      </x:c>
      <x:c r="C10" s="77" t="str">
        <x:f>IF('Entry Queue'!C10="","",PROPER(TRIM('Entry Queue'!C10)))</x:f>
        <x:v>Silva</x:v>
      </x:c>
      <x:c r="D10" s="77" t="str">
        <x:f>IF(OR(B10="",C10=""),"",B10&amp;" "&amp;C10)</x:f>
        <x:v>Mateo Silva</x:v>
      </x:c>
      <x:c r="E10" s="77" t="str">
        <x:f>IF('Entry Queue'!D10="","",PROPER(TRIM('Entry Queue'!D10)))</x:f>
        <x:v>Granite Grove</x:v>
      </x:c>
      <x:c r="F10" s="77" t="str">
        <x:f>IF('Entry Queue'!E10="","",LOWER(TRIM('Entry Queue'!E10)))</x:f>
        <x:v>maya.chen1000@northstarsupply.test</x:v>
      </x:c>
      <x:c r="G10" s="77" t="str">
        <x:f>TRIM('Entry Queue'!F10)</x:f>
        <x:v>202 555 1005</x:v>
      </x:c>
      <x:c r="H10" s="77" t="str">
        <x:f>IF('Entry Queue'!G10="","",PROPER(TRIM('Entry Queue'!G10)))</x:f>
        <x:v>United States</x:v>
      </x:c>
      <x:c r="I10" s="77" t="str">
        <x:f>IF('Entry Queue'!H10="","",PROPER(TRIM('Entry Queue'!H10)))</x:f>
        <x:v>North</x:v>
      </x:c>
      <x:c r="J10" s="77" t="str">
        <x:f>TRIM('Entry Queue'!I10)</x:f>
        <x:v>Website</x:v>
      </x:c>
      <x:c r="K10" s="77" t="str">
        <x:f>TRIM('Entry Queue'!J10)</x:f>
        <x:v>Small business</x:v>
      </x:c>
      <x:c r="L10" s="77" t="str">
        <x:f>TRIM('Entry Queue'!K10)</x:f>
        <x:v>Inactive</x:v>
      </x:c>
      <x:c r="M10" s="78" t="n">
        <x:f>'Entry Queue'!L10</x:f>
        <x:v>46179</x:v>
      </x:c>
      <x:c r="N10" s="77" t="str">
        <x:f>'Entry Queue'!M10</x:f>
        <x:v>A. Patel</x:v>
      </x:c>
      <x:c r="O10" s="79" t="str">
        <x:f>'QC Checks'!I10</x:f>
        <x:v>Duplicate email</x:v>
      </x:c>
    </x:row>
    <x:row r="11" ht="21" customHeight="1">
      <x:c r="A11" s="74" t="str">
        <x:f>'Entry Queue'!A11</x:f>
        <x:v>C-2007</x:v>
      </x:c>
      <x:c r="B11" s="74" t="str">
        <x:f>IF('Entry Queue'!B11="","",PROPER(TRIM('Entry Queue'!B11)))</x:f>
        <x:v>Ruth</x:v>
      </x:c>
      <x:c r="C11" s="74" t="str">
        <x:f>IF('Entry Queue'!C11="","",PROPER(TRIM('Entry Queue'!C11)))</x:f>
        <x:v>Jensen</x:v>
      </x:c>
      <x:c r="D11" s="74" t="str">
        <x:f>IF(OR(B11="",C11=""),"",B11&amp;" "&amp;C11)</x:f>
        <x:v>Ruth Jensen</x:v>
      </x:c>
      <x:c r="E11" s="74" t="str">
        <x:f>IF('Entry Queue'!D11="","",PROPER(TRIM('Entry Queue'!D11)))</x:f>
        <x:v>Blue Current</x:v>
      </x:c>
      <x:c r="F11" s="74" t="str">
        <x:f>IF('Entry Queue'!E11="","",LOWER(TRIM('Entry Queue'!E11)))</x:f>
        <x:v>ruth.jensen1006@bluecurrent.test</x:v>
      </x:c>
      <x:c r="G11" s="74" t="str">
        <x:f>TRIM('Entry Queue'!F11)</x:f>
        <x:v>+1 (202) 555-1006</x:v>
      </x:c>
      <x:c r="H11" s="74" t="str">
        <x:f>IF('Entry Queue'!G11="","",PROPER(TRIM('Entry Queue'!G11)))</x:f>
        <x:v>Australia</x:v>
      </x:c>
      <x:c r="I11" s="74" t="str">
        <x:f>IF('Entry Queue'!H11="","",PROPER(TRIM('Entry Queue'!H11)))</x:f>
        <x:v>Central</x:v>
      </x:c>
      <x:c r="J11" s="74" t="str">
        <x:f>TRIM('Entry Queue'!I11)</x:f>
        <x:v>Referral</x:v>
      </x:c>
      <x:c r="K11" s="74" t="str">
        <x:f>TRIM('Entry Queue'!J11)</x:f>
        <x:v>Nonprofit</x:v>
      </x:c>
      <x:c r="L11" s="74" t="str">
        <x:f>TRIM('Entry Queue'!K11)</x:f>
        <x:v>Active</x:v>
      </x:c>
      <x:c r="M11" s="75" t="n">
        <x:f>'Entry Queue'!L11</x:f>
        <x:v>46210</x:v>
      </x:c>
      <x:c r="N11" s="74" t="str">
        <x:f>'Entry Queue'!M11</x:f>
        <x:v>L. Brooks</x:v>
      </x:c>
      <x:c r="O11" s="76" t="str">
        <x:f>'QC Checks'!I11</x:f>
        <x:v>Ready</x:v>
      </x:c>
    </x:row>
    <x:row r="12" ht="21" customHeight="1">
      <x:c r="A12" s="77" t="str">
        <x:f>'Entry Queue'!A12</x:f>
        <x:v>C-2008</x:v>
      </x:c>
      <x:c r="B12" s="77" t="str">
        <x:f>IF('Entry Queue'!B12="","",PROPER(TRIM('Entry Queue'!B12)))</x:f>
        <x:v>Ethan</x:v>
      </x:c>
      <x:c r="C12" s="77" t="str">
        <x:f>IF('Entry Queue'!C12="","",PROPER(TRIM('Entry Queue'!C12)))</x:f>
        <x:v>Liu</x:v>
      </x:c>
      <x:c r="D12" s="77" t="str">
        <x:f>IF(OR(B12="",C12=""),"",B12&amp;" "&amp;C12)</x:f>
        <x:v>Ethan Liu</x:v>
      </x:c>
      <x:c r="E12" s="77" t="str">
        <x:f>IF('Entry Queue'!D12="","",PROPER(TRIM('Entry Queue'!D12)))</x:f>
        <x:v>Greenline Market</x:v>
      </x:c>
      <x:c r="F12" s="77" t="str">
        <x:f>IF('Entry Queue'!E12="","",LOWER(TRIM('Entry Queue'!E12)))</x:f>
        <x:v>ethan.liu1007@greenlinemarket.test</x:v>
      </x:c>
      <x:c r="G12" s="77" t="str">
        <x:f>TRIM('Entry Queue'!F12)</x:f>
        <x:v>+1-415-555-1007</x:v>
      </x:c>
      <x:c r="H12" s="77" t="str">
        <x:f>IF('Entry Queue'!G12="","",PROPER(TRIM('Entry Queue'!G12)))</x:f>
        <x:v>Canada</x:v>
      </x:c>
      <x:c r="I12" s="77" t="str">
        <x:f>IF('Entry Queue'!H12="","",PROPER(TRIM('Entry Queue'!H12)))</x:f>
        <x:v>International</x:v>
      </x:c>
      <x:c r="J12" s="77" t="str">
        <x:f>TRIM('Entry Queue'!I12)</x:f>
        <x:v>Trade show</x:v>
      </x:c>
      <x:c r="K12" s="77" t="str">
        <x:f>TRIM('Entry Queue'!J12)</x:f>
        <x:v>Mid-market</x:v>
      </x:c>
      <x:c r="L12" s="77" t="str">
        <x:f>TRIM('Entry Queue'!K12)</x:f>
        <x:v>Prospect</x:v>
      </x:c>
      <x:c r="M12" s="78" t="n">
        <x:f>'Entry Queue'!L12</x:f>
        <x:v>46242</x:v>
      </x:c>
      <x:c r="N12" s="77" t="str">
        <x:f>'Entry Queue'!M12</x:f>
        <x:v>R. Shah</x:v>
      </x:c>
      <x:c r="O12" s="79" t="str">
        <x:f>'QC Checks'!I12</x:f>
        <x:v>Ready</x:v>
      </x:c>
    </x:row>
    <x:row r="13" ht="21" customHeight="1">
      <x:c r="A13" s="74" t="str">
        <x:f>'Entry Queue'!A13</x:f>
        <x:v>C-2009</x:v>
      </x:c>
      <x:c r="B13" s="74" t="str">
        <x:f>IF('Entry Queue'!B13="","",PROPER(TRIM('Entry Queue'!B13)))</x:f>
        <x:v>Ava</x:v>
      </x:c>
      <x:c r="C13" s="74" t="str">
        <x:f>IF('Entry Queue'!C13="","",PROPER(TRIM('Entry Queue'!C13)))</x:f>
        <x:v>Roy</x:v>
      </x:c>
      <x:c r="D13" s="74" t="str">
        <x:f>IF(OR(B13="",C13=""),"",B13&amp;" "&amp;C13)</x:f>
        <x:v>Ava Roy</x:v>
      </x:c>
      <x:c r="E13" s="74" t="str">
        <x:f>IF('Entry Queue'!D13="","",PROPER(TRIM('Entry Queue'!D13)))</x:f>
        <x:v>Cloudberry Labs</x:v>
      </x:c>
      <x:c r="F13" s="74" t="str">
        <x:f>IF('Entry Queue'!E13="","",LOWER(TRIM('Entry Queue'!E13)))</x:f>
        <x:v>ava.roy1008@cloudberrylabs.test</x:v>
      </x:c>
      <x:c r="G13" s="74" t="str">
        <x:f>TRIM('Entry Queue'!F13)</x:f>
        <x:v>202 555 1008</x:v>
      </x:c>
      <x:c r="H13" s="74" t="str">
        <x:f>IF('Entry Queue'!G13="","",PROPER(TRIM('Entry Queue'!G13)))</x:f>
        <x:v>India</x:v>
      </x:c>
      <x:c r="I13" s="74" t="str">
        <x:f>IF('Entry Queue'!H13="","",PROPER(TRIM('Entry Queue'!H13)))</x:f>
        <x:v>South</x:v>
      </x:c>
      <x:c r="J13" s="74" t="str">
        <x:f>TRIM('Entry Queue'!I13)</x:f>
        <x:v>Outbound</x:v>
      </x:c>
      <x:c r="K13" s="74" t="str">
        <x:f>TRIM('Entry Queue'!J13)</x:f>
        <x:v>Education</x:v>
      </x:c>
      <x:c r="L13" s="74" t="str">
        <x:f>TRIM('Entry Queue'!K13)</x:f>
        <x:v>Inactive</x:v>
      </x:c>
      <x:c r="M13" s="75" t="n">
        <x:f>'Entry Queue'!L13</x:f>
        <x:v>46274</x:v>
      </x:c>
      <x:c r="N13" s="74" t="str">
        <x:f>'Entry Queue'!M13</x:f>
        <x:v>M. Rivera</x:v>
      </x:c>
      <x:c r="O13" s="76" t="str">
        <x:f>'QC Checks'!I13</x:f>
        <x:v>Ready</x:v>
      </x:c>
    </x:row>
    <x:row r="14" ht="21" customHeight="1">
      <x:c r="A14" s="77" t="str">
        <x:f>'Entry Queue'!A14</x:f>
        <x:v>C-2010</x:v>
      </x:c>
      <x:c r="B14" s="77" t="str">
        <x:f>IF('Entry Queue'!B14="","",PROPER(TRIM('Entry Queue'!B14)))</x:f>
        <x:v>Noah</x:v>
      </x:c>
      <x:c r="C14" s="77" t="str">
        <x:f>IF('Entry Queue'!C14="","",PROPER(TRIM('Entry Queue'!C14)))</x:f>
        <x:v>Park</x:v>
      </x:c>
      <x:c r="D14" s="77" t="str">
        <x:f>IF(OR(B14="",C14=""),"",B14&amp;" "&amp;C14)</x:f>
        <x:v>Noah Park</x:v>
      </x:c>
      <x:c r="E14" s="77" t="str">
        <x:f>IF('Entry Queue'!D14="","",PROPER(TRIM('Entry Queue'!D14)))</x:f>
        <x:v>Cobalt Office</x:v>
      </x:c>
      <x:c r="F14" s="77" t="str">
        <x:f>IF('Entry Queue'!E14="","",LOWER(TRIM('Entry Queue'!E14)))</x:f>
        <x:v>noah.park1009@cobaltoffice.test</x:v>
      </x:c>
      <x:c r="G14" s="77" t="str">
        <x:f>TRIM('Entry Queue'!F14)</x:f>
        <x:v>+1 (202) 555-1009</x:v>
      </x:c>
      <x:c r="H14" s="77" t="str">
        <x:f>IF('Entry Queue'!G14="","",PROPER(TRIM('Entry Queue'!G14)))</x:f>
        <x:v>United Kingdom</x:v>
      </x:c>
      <x:c r="I14" s="77" t="str">
        <x:f>IF('Entry Queue'!H14="","",PROPER(TRIM('Entry Queue'!H14)))</x:f>
        <x:v>West</x:v>
      </x:c>
      <x:c r="J14" s="77" t="str">
        <x:f>TRIM('Entry Queue'!I14)</x:f>
        <x:v>Partner</x:v>
      </x:c>
      <x:c r="K14" s="77" t="str">
        <x:f>TRIM('Entry Queue'!J14)</x:f>
        <x:v>Enterprise</x:v>
      </x:c>
      <x:c r="L14" s="77" t="str">
        <x:f>TRIM('Entry Queue'!K14)</x:f>
        <x:v>Active</x:v>
      </x:c>
      <x:c r="M14" s="78" t="n">
        <x:f>'Entry Queue'!L14</x:f>
        <x:v>46032</x:v>
      </x:c>
      <x:c r="N14" s="77" t="str">
        <x:f>'Entry Queue'!M14</x:f>
        <x:v>K. Evans</x:v>
      </x:c>
      <x:c r="O14" s="79" t="str">
        <x:f>'QC Checks'!I14</x:f>
        <x:v>Ready</x:v>
      </x:c>
    </x:row>
    <x:row r="15" ht="21" customHeight="1">
      <x:c r="A15" s="74" t="str">
        <x:f>'Entry Queue'!A15</x:f>
        <x:v>C-2011</x:v>
      </x:c>
      <x:c r="B15" s="74" t="str">
        <x:f>IF('Entry Queue'!B15="","",PROPER(TRIM('Entry Queue'!B15)))</x:f>
        <x:v>Sofia</x:v>
      </x:c>
      <x:c r="C15" s="74" t="str">
        <x:f>IF('Entry Queue'!C15="","",PROPER(TRIM('Entry Queue'!C15)))</x:f>
        <x:v>Alvarez</x:v>
      </x:c>
      <x:c r="D15" s="74" t="str">
        <x:f>IF(OR(B15="",C15=""),"",B15&amp;" "&amp;C15)</x:f>
        <x:v>Sofia Alvarez</x:v>
      </x:c>
      <x:c r="E15" s="74" t="str">
        <x:f>IF('Entry Queue'!D15="","",PROPER(TRIM('Entry Queue'!D15)))</x:f>
        <x:v>Poppy Lane</x:v>
      </x:c>
      <x:c r="F15" s="74" t="str">
        <x:f>IF('Entry Queue'!E15="","",LOWER(TRIM('Entry Queue'!E15)))</x:f>
        <x:v>sofia.alvarez1010@poppylane.test</x:v>
      </x:c>
      <x:c r="G15" s="74" t="str">
        <x:f>TRIM('Entry Queue'!F15)</x:f>
        <x:v>+1-415-555-1010</x:v>
      </x:c>
      <x:c r="H15" s="74" t="str">
        <x:f>IF('Entry Queue'!G15="","",PROPER(TRIM('Entry Queue'!G15)))</x:f>
        <x:v>United States</x:v>
      </x:c>
      <x:c r="I15" s="74" t="str">
        <x:f>IF('Entry Queue'!H15="","",PROPER(TRIM('Entry Queue'!H15)))</x:f>
        <x:v>North</x:v>
      </x:c>
      <x:c r="J15" s="74" t="str">
        <x:f>TRIM('Entry Queue'!I15)</x:f>
        <x:v>Website</x:v>
      </x:c>
      <x:c r="K15" s="74" t="str">
        <x:f>TRIM('Entry Queue'!J15)</x:f>
        <x:v>Small business</x:v>
      </x:c>
      <x:c r="L15" s="74" t="str">
        <x:f>TRIM('Entry Queue'!K15)</x:f>
        <x:v>Prospect</x:v>
      </x:c>
      <x:c r="M15" s="75" t="n">
        <x:f>'Entry Queue'!L15</x:f>
        <x:v>46064</x:v>
      </x:c>
      <x:c r="N15" s="74" t="str">
        <x:f>'Entry Queue'!M15</x:f>
        <x:v>A. Patel</x:v>
      </x:c>
      <x:c r="O15" s="76" t="str">
        <x:f>'QC Checks'!I15</x:f>
        <x:v>Ready</x:v>
      </x:c>
    </x:row>
    <x:row r="16" ht="21" customHeight="1">
      <x:c r="A16" s="77" t="str">
        <x:f>'Entry Queue'!A16</x:f>
        <x:v>C-2012</x:v>
      </x:c>
      <x:c r="B16" s="77" t="str">
        <x:f>IF('Entry Queue'!B16="","",PROPER(TRIM('Entry Queue'!B16)))</x:f>
        <x:v>Amir</x:v>
      </x:c>
      <x:c r="C16" s="77" t="str">
        <x:f>IF('Entry Queue'!C16="","",PROPER(TRIM('Entry Queue'!C16)))</x:f>
        <x:v>Wilson</x:v>
      </x:c>
      <x:c r="D16" s="77" t="str">
        <x:f>IF(OR(B16="",C16=""),"",B16&amp;" "&amp;C16)</x:f>
        <x:v>Amir Wilson</x:v>
      </x:c>
      <x:c r="E16" s="77" t="str">
        <x:f>IF('Entry Queue'!D16="","",PROPER(TRIM('Entry Queue'!D16)))</x:f>
        <x:v>Harborline Foods</x:v>
      </x:c>
      <x:c r="F16" s="77" t="str">
        <x:f>IF('Entry Queue'!E16="","",LOWER(TRIM('Entry Queue'!E16)))</x:f>
        <x:v>amir.wilson1011@harborlinefoods.test</x:v>
      </x:c>
      <x:c r="G16" s="77" t="str">
        <x:f>TRIM('Entry Queue'!F16)</x:f>
        <x:v>202 555 1011</x:v>
      </x:c>
      <x:c r="H16" s="77" t="str">
        <x:f>IF('Entry Queue'!G16="","",PROPER(TRIM('Entry Queue'!G16)))</x:f>
        <x:v>Australia</x:v>
      </x:c>
      <x:c r="I16" s="77" t="str">
        <x:f>IF('Entry Queue'!H16="","",PROPER(TRIM('Entry Queue'!H16)))</x:f>
        <x:v>Central</x:v>
      </x:c>
      <x:c r="J16" s="77" t="str">
        <x:f>TRIM('Entry Queue'!I16)</x:f>
        <x:v>Referral</x:v>
      </x:c>
      <x:c r="K16" s="77" t="str">
        <x:f>TRIM('Entry Queue'!J16)</x:f>
        <x:v>Nonprofit</x:v>
      </x:c>
      <x:c r="L16" s="77" t="str">
        <x:f>TRIM('Entry Queue'!K16)</x:f>
        <x:v>Inactive</x:v>
      </x:c>
      <x:c r="M16" s="78" t="n">
        <x:f>'Entry Queue'!L16</x:f>
        <x:v>46093</x:v>
      </x:c>
      <x:c r="N16" s="77" t="str">
        <x:f>'Entry Queue'!M16</x:f>
        <x:v>L. Brooks</x:v>
      </x:c>
      <x:c r="O16" s="79" t="str">
        <x:f>'QC Checks'!I16</x:f>
        <x:v>Ready</x:v>
      </x:c>
    </x:row>
    <x:row r="17" ht="21" customHeight="1">
      <x:c r="A17" s="74" t="str">
        <x:f>'Entry Queue'!A17</x:f>
        <x:v>C-2013</x:v>
      </x:c>
      <x:c r="B17" s="74" t="str">
        <x:f>IF('Entry Queue'!B17="","",PROPER(TRIM('Entry Queue'!B17)))</x:f>
        <x:v>Nora</x:v>
      </x:c>
      <x:c r="C17" s="74" t="str">
        <x:f>IF('Entry Queue'!C17="","",PROPER(TRIM('Entry Queue'!C17)))</x:f>
        <x:v>Green</x:v>
      </x:c>
      <x:c r="D17" s="74" t="str">
        <x:f>IF(OR(B17="",C17=""),"",B17&amp;" "&amp;C17)</x:f>
        <x:v>Nora Green</x:v>
      </x:c>
      <x:c r="E17" s="74" t="str">
        <x:f>IF('Entry Queue'!D17="","",PROPER(TRIM('Entry Queue'!D17)))</x:f>
        <x:v>North Bay Learning</x:v>
      </x:c>
      <x:c r="F17" s="74" t="str">
        <x:f>IF('Entry Queue'!E17="","",LOWER(TRIM('Entry Queue'!E17)))</x:f>
        <x:v>nora.green1012@northbaylearning.test</x:v>
      </x:c>
      <x:c r="G17" s="74" t="str">
        <x:f>TRIM('Entry Queue'!F17)</x:f>
        <x:v>+1 (202) 555-1012</x:v>
      </x:c>
      <x:c r="H17" s="74" t="str">
        <x:f>IF('Entry Queue'!G17="","",PROPER(TRIM('Entry Queue'!G17)))</x:f>
        <x:v>Canada</x:v>
      </x:c>
      <x:c r="I17" s="74" t="str">
        <x:f>IF('Entry Queue'!H17="","",PROPER(TRIM('Entry Queue'!H17)))</x:f>
        <x:v>International</x:v>
      </x:c>
      <x:c r="J17" s="74" t="str">
        <x:f>TRIM('Entry Queue'!I17)</x:f>
        <x:v>Trade show</x:v>
      </x:c>
      <x:c r="K17" s="74" t="str">
        <x:f>TRIM('Entry Queue'!J17)</x:f>
        <x:v>Mid-market</x:v>
      </x:c>
      <x:c r="L17" s="74" t="str">
        <x:f>TRIM('Entry Queue'!K17)</x:f>
        <x:v>Active</x:v>
      </x:c>
      <x:c r="M17" s="75" t="n">
        <x:f>'Entry Queue'!L17</x:f>
        <x:v>46125</x:v>
      </x:c>
      <x:c r="N17" s="74" t="str">
        <x:f>'Entry Queue'!M17</x:f>
        <x:v>R. Shah</x:v>
      </x:c>
      <x:c r="O17" s="76" t="str">
        <x:f>'QC Checks'!I17</x:f>
        <x:v>Ready</x:v>
      </x:c>
    </x:row>
    <x:row r="18" ht="21" customHeight="1">
      <x:c r="A18" s="77" t="str">
        <x:f>'Entry Queue'!A18</x:f>
        <x:v>C-2014</x:v>
      </x:c>
      <x:c r="B18" s="77" t="str">
        <x:f>IF('Entry Queue'!B18="","",PROPER(TRIM('Entry Queue'!B18)))</x:f>
        <x:v>Caleb</x:v>
      </x:c>
      <x:c r="C18" s="77" t="str">
        <x:f>IF('Entry Queue'!C18="","",PROPER(TRIM('Entry Queue'!C18)))</x:f>
        <x:v>Reed</x:v>
      </x:c>
      <x:c r="D18" s="77" t="str">
        <x:f>IF(OR(B18="",C18=""),"",B18&amp;" "&amp;C18)</x:f>
        <x:v>Caleb Reed</x:v>
      </x:c>
      <x:c r="E18" s="77" t="str">
        <x:f>IF('Entry Queue'!D18="","",PROPER(TRIM('Entry Queue'!D18)))</x:f>
        <x:v>Orchard Road</x:v>
      </x:c>
      <x:c r="F18" s="77" t="str">
        <x:f>IF('Entry Queue'!E18="","",LOWER(TRIM('Entry Queue'!E18)))</x:f>
        <x:v>caleb.reed1013@orchardroad.test</x:v>
      </x:c>
      <x:c r="G18" s="77" t="str">
        <x:f>TRIM('Entry Queue'!F18)</x:f>
        <x:v>+1-415-555-1013</x:v>
      </x:c>
      <x:c r="H18" s="77" t="str">
        <x:f>IF('Entry Queue'!G18="","",PROPER(TRIM('Entry Queue'!G18)))</x:f>
        <x:v>India</x:v>
      </x:c>
      <x:c r="I18" s="77" t="str">
        <x:f>IF('Entry Queue'!H18="","",PROPER(TRIM('Entry Queue'!H18)))</x:f>
        <x:v>South</x:v>
      </x:c>
      <x:c r="J18" s="77" t="str">
        <x:f>TRIM('Entry Queue'!I18)</x:f>
        <x:v>Outbound</x:v>
      </x:c>
      <x:c r="K18" s="77" t="str">
        <x:f>TRIM('Entry Queue'!J18)</x:f>
        <x:v>Education</x:v>
      </x:c>
      <x:c r="L18" s="77" t="str">
        <x:f>TRIM('Entry Queue'!K18)</x:f>
        <x:v>Prospect</x:v>
      </x:c>
      <x:c r="M18" s="78" t="n">
        <x:f>'Entry Queue'!L18</x:f>
        <x:v>46156</x:v>
      </x:c>
      <x:c r="N18" s="77" t="str">
        <x:f>'Entry Queue'!M18</x:f>
        <x:v>M. Rivera</x:v>
      </x:c>
      <x:c r="O18" s="79" t="str">
        <x:f>'QC Checks'!I18</x:f>
        <x:v>Ready</x:v>
      </x:c>
    </x:row>
    <x:row r="19" ht="21" customHeight="1">
      <x:c r="A19" s="74" t="str">
        <x:f>'Entry Queue'!A19</x:f>
        <x:v>C-2015</x:v>
      </x:c>
      <x:c r="B19" s="74" t="str">
        <x:f>IF('Entry Queue'!B19="","",PROPER(TRIM('Entry Queue'!B19)))</x:f>
        <x:v>Zara</x:v>
      </x:c>
      <x:c r="C19" s="74" t="str">
        <x:f>IF('Entry Queue'!C19="","",PROPER(TRIM('Entry Queue'!C19)))</x:f>
        <x:v>Thompson</x:v>
      </x:c>
      <x:c r="D19" s="74" t="str">
        <x:f>IF(OR(B19="",C19=""),"",B19&amp;" "&amp;C19)</x:f>
        <x:v>Zara Thompson</x:v>
      </x:c>
      <x:c r="E19" s="74" t="str">
        <x:f>IF('Entry Queue'!D19="","",PROPER(TRIM('Entry Queue'!D19)))</x:f>
        <x:v>Pinecone Studio</x:v>
      </x:c>
      <x:c r="F19" s="74" t="str">
        <x:f>IF('Entry Queue'!E19="","",LOWER(TRIM('Entry Queue'!E19)))</x:f>
        <x:v>zara.thompson1014@pineconestudio.test</x:v>
      </x:c>
      <x:c r="G19" s="74" t="str">
        <x:f>TRIM('Entry Queue'!F19)</x:f>
        <x:v>202 555 1014</x:v>
      </x:c>
      <x:c r="H19" s="74" t="str">
        <x:f>IF('Entry Queue'!G19="","",PROPER(TRIM('Entry Queue'!G19)))</x:f>
        <x:v>United Kingdom</x:v>
      </x:c>
      <x:c r="I19" s="74" t="str">
        <x:f>IF('Entry Queue'!H19="","",PROPER(TRIM('Entry Queue'!H19)))</x:f>
        <x:v>West</x:v>
      </x:c>
      <x:c r="J19" s="74" t="str">
        <x:f>TRIM('Entry Queue'!I19)</x:f>
        <x:v>Partner</x:v>
      </x:c>
      <x:c r="K19" s="74" t="str">
        <x:f>TRIM('Entry Queue'!J19)</x:f>
        <x:v>Enterprise</x:v>
      </x:c>
      <x:c r="L19" s="74" t="str">
        <x:f>TRIM('Entry Queue'!K19)</x:f>
        <x:v>Inactive</x:v>
      </x:c>
      <x:c r="M19" s="75" t="n">
        <x:f>'Entry Queue'!L19</x:f>
        <x:v>46188</x:v>
      </x:c>
      <x:c r="N19" s="74" t="str">
        <x:f>'Entry Queue'!M19</x:f>
        <x:v>K. Evans</x:v>
      </x:c>
      <x:c r="O19" s="76" t="str">
        <x:f>'QC Checks'!I19</x:f>
        <x:v>Ready</x:v>
      </x:c>
    </x:row>
    <x:row r="20" ht="21" customHeight="1">
      <x:c r="A20" s="77" t="str">
        <x:f>'Entry Queue'!A20</x:f>
        <x:v>C-2016</x:v>
      </x:c>
      <x:c r="B20" s="77" t="str">
        <x:f>IF('Entry Queue'!B20="","",PROPER(TRIM('Entry Queue'!B20)))</x:f>
        <x:v>Henry</x:v>
      </x:c>
      <x:c r="C20" s="77" t="str">
        <x:f>IF('Entry Queue'!C20="","",PROPER(TRIM('Entry Queue'!C20)))</x:f>
        <x:v>Adams</x:v>
      </x:c>
      <x:c r="D20" s="77" t="str">
        <x:f>IF(OR(B20="",C20=""),"",B20&amp;" "&amp;C20)</x:f>
        <x:v>Henry Adams</x:v>
      </x:c>
      <x:c r="E20" s="77" t="str">
        <x:f>IF('Entry Queue'!D20="","",PROPER(TRIM('Entry Queue'!D20)))</x:f>
        <x:v>Summit Learning</x:v>
      </x:c>
      <x:c r="F20" s="77" t="str">
        <x:f>IF('Entry Queue'!E20="","",LOWER(TRIM('Entry Queue'!E20)))</x:f>
        <x:v>henry.adams1015@summitlearning.test</x:v>
      </x:c>
      <x:c r="G20" s="77" t="str">
        <x:f>TRIM('Entry Queue'!F20)</x:f>
        <x:v>+1 (202) 555-1015</x:v>
      </x:c>
      <x:c r="H20" s="77" t="str">
        <x:f>IF('Entry Queue'!G20="","",PROPER(TRIM('Entry Queue'!G20)))</x:f>
        <x:v>United States</x:v>
      </x:c>
      <x:c r="I20" s="77" t="str">
        <x:f>IF('Entry Queue'!H20="","",PROPER(TRIM('Entry Queue'!H20)))</x:f>
        <x:v>North</x:v>
      </x:c>
      <x:c r="J20" s="77" t="str">
        <x:f>TRIM('Entry Queue'!I20)</x:f>
        <x:v>Website</x:v>
      </x:c>
      <x:c r="K20" s="77" t="str">
        <x:f>TRIM('Entry Queue'!J20)</x:f>
        <x:v>Small business</x:v>
      </x:c>
      <x:c r="L20" s="77" t="str">
        <x:f>TRIM('Entry Queue'!K20)</x:f>
        <x:v>Active</x:v>
      </x:c>
      <x:c r="M20" s="78" t="n">
        <x:f>'Entry Queue'!L20</x:f>
        <x:v>46219</x:v>
      </x:c>
      <x:c r="N20" s="77" t="str">
        <x:f>'Entry Queue'!M20</x:f>
        <x:v>A. Patel</x:v>
      </x:c>
      <x:c r="O20" s="79" t="str">
        <x:f>'QC Checks'!I20</x:f>
        <x:v>Ready</x:v>
      </x:c>
    </x:row>
    <x:row r="21" ht="21" customHeight="1">
      <x:c r="A21" s="74" t="str">
        <x:f>'Entry Queue'!A21</x:f>
        <x:v>C-2017</x:v>
      </x:c>
      <x:c r="B21" s="74" t="str">
        <x:f>IF('Entry Queue'!B21="","",PROPER(TRIM('Entry Queue'!B21)))</x:f>
        <x:v>Ivy</x:v>
      </x:c>
      <x:c r="C21" s="74" t="str">
        <x:f>IF('Entry Queue'!C21="","",PROPER(TRIM('Entry Queue'!C21)))</x:f>
        <x:v>Martin</x:v>
      </x:c>
      <x:c r="D21" s="74" t="str">
        <x:f>IF(OR(B21="",C21=""),"",B21&amp;" "&amp;C21)</x:f>
        <x:v>Ivy Martin</x:v>
      </x:c>
      <x:c r="E21" s="74" t="str">
        <x:f>IF('Entry Queue'!D21="","",PROPER(TRIM('Entry Queue'!D21)))</x:f>
        <x:v>Lumen Works</x:v>
      </x:c>
      <x:c r="F21" s="74" t="str">
        <x:f>IF('Entry Queue'!E21="","",LOWER(TRIM('Entry Queue'!E21)))</x:f>
        <x:v>ivy.martin1016@lumenworks.test</x:v>
      </x:c>
      <x:c r="G21" s="74" t="str">
        <x:f>TRIM('Entry Queue'!F21)</x:f>
        <x:v>+1-415-555-1016</x:v>
      </x:c>
      <x:c r="H21" s="74" t="str">
        <x:f>IF('Entry Queue'!G21="","",PROPER(TRIM('Entry Queue'!G21)))</x:f>
        <x:v>Australia</x:v>
      </x:c>
      <x:c r="I21" s="74" t="str">
        <x:f>IF('Entry Queue'!H21="","",PROPER(TRIM('Entry Queue'!H21)))</x:f>
        <x:v>Central</x:v>
      </x:c>
      <x:c r="J21" s="74" t="str">
        <x:f>TRIM('Entry Queue'!I21)</x:f>
        <x:v>Referral</x:v>
      </x:c>
      <x:c r="K21" s="74" t="str">
        <x:f>TRIM('Entry Queue'!J21)</x:f>
        <x:v>Nonprofit</x:v>
      </x:c>
      <x:c r="L21" s="74" t="str">
        <x:f>TRIM('Entry Queue'!K21)</x:f>
        <x:v>Prospect</x:v>
      </x:c>
      <x:c r="M21" s="75" t="n">
        <x:f>'Entry Queue'!L21</x:f>
        <x:v>46251</x:v>
      </x:c>
      <x:c r="N21" s="74" t="str">
        <x:f>'Entry Queue'!M21</x:f>
        <x:v>L. Brooks</x:v>
      </x:c>
      <x:c r="O21" s="76" t="str">
        <x:f>'QC Checks'!I21</x:f>
        <x:v>Ready</x:v>
      </x:c>
    </x:row>
    <x:row r="22" ht="21" customHeight="1">
      <x:c r="A22" s="77" t="str">
        <x:f>'Entry Queue'!A22</x:f>
        <x:v>C-2018</x:v>
      </x:c>
      <x:c r="B22" s="77" t="str">
        <x:f>IF('Entry Queue'!B22="","",PROPER(TRIM('Entry Queue'!B22)))</x:f>
        <x:v>Lucas</x:v>
      </x:c>
      <x:c r="C22" s="77" t="str">
        <x:f>IF('Entry Queue'!C22="","",PROPER(TRIM('Entry Queue'!C22)))</x:f>
        <x:v>Diaz</x:v>
      </x:c>
      <x:c r="D22" s="77" t="str">
        <x:f>IF(OR(B22="",C22=""),"",B22&amp;" "&amp;C22)</x:f>
        <x:v>Lucas Diaz</x:v>
      </x:c>
      <x:c r="E22" s="77" t="str">
        <x:f>IF('Entry Queue'!D22="","",PROPER(TRIM('Entry Queue'!D22)))</x:f>
        <x:v>Red Kite Market</x:v>
      </x:c>
      <x:c r="F22" s="77" t="str">
        <x:f>IF('Entry Queue'!E22="","",LOWER(TRIM('Entry Queue'!E22)))</x:f>
        <x:v>nora@invalid</x:v>
      </x:c>
      <x:c r="G22" s="77" t="str">
        <x:f>TRIM('Entry Queue'!F22)</x:f>
        <x:v>202 555 1017</x:v>
      </x:c>
      <x:c r="H22" s="77" t="str">
        <x:f>IF('Entry Queue'!G22="","",PROPER(TRIM('Entry Queue'!G22)))</x:f>
        <x:v>Canada</x:v>
      </x:c>
      <x:c r="I22" s="77" t="str">
        <x:f>IF('Entry Queue'!H22="","",PROPER(TRIM('Entry Queue'!H22)))</x:f>
        <x:v>International</x:v>
      </x:c>
      <x:c r="J22" s="77" t="str">
        <x:f>TRIM('Entry Queue'!I22)</x:f>
        <x:v>Trade show</x:v>
      </x:c>
      <x:c r="K22" s="77" t="str">
        <x:f>TRIM('Entry Queue'!J22)</x:f>
        <x:v>Mid-market</x:v>
      </x:c>
      <x:c r="L22" s="77" t="str">
        <x:f>TRIM('Entry Queue'!K22)</x:f>
        <x:v>Inactive</x:v>
      </x:c>
      <x:c r="M22" s="78" t="n">
        <x:f>'Entry Queue'!L22</x:f>
        <x:v>46283</x:v>
      </x:c>
      <x:c r="N22" s="77" t="str">
        <x:f>'Entry Queue'!M22</x:f>
        <x:v>R. Shah</x:v>
      </x:c>
      <x:c r="O22" s="79" t="str">
        <x:f>'QC Checks'!I22</x:f>
        <x:v>Check email</x:v>
      </x:c>
    </x:row>
    <x:row r="23" ht="21" customHeight="1">
      <x:c r="A23" s="74" t="str">
        <x:f>'Entry Queue'!A23</x:f>
        <x:v>C-2019</x:v>
      </x:c>
      <x:c r="B23" s="74" t="str">
        <x:f>IF('Entry Queue'!B23="","",PROPER(TRIM('Entry Queue'!B23)))</x:f>
        <x:v>Emma</x:v>
      </x:c>
      <x:c r="C23" s="74" t="str">
        <x:f>IF('Entry Queue'!C23="","",PROPER(TRIM('Entry Queue'!C23)))</x:f>
        <x:v>Okafor</x:v>
      </x:c>
      <x:c r="D23" s="74" t="str">
        <x:f>IF(OR(B23="",C23=""),"",B23&amp;" "&amp;C23)</x:f>
        <x:v>Emma Okafor</x:v>
      </x:c>
      <x:c r="E23" s="74" t="str">
        <x:f>IF('Entry Queue'!D23="","",PROPER(TRIM('Entry Queue'!D23)))</x:f>
        <x:v>Moss &amp; Morrow</x:v>
      </x:c>
      <x:c r="F23" s="74" t="str">
        <x:f>IF('Entry Queue'!E23="","",LOWER(TRIM('Entry Queue'!E23)))</x:f>
        <x:v>emma.okafor1018@mossmorrow.test</x:v>
      </x:c>
      <x:c r="G23" s="74" t="str">
        <x:f>TRIM('Entry Queue'!F23)</x:f>
        <x:v>+1 (202) 555-1018</x:v>
      </x:c>
      <x:c r="H23" s="74" t="str">
        <x:f>IF('Entry Queue'!G23="","",PROPER(TRIM('Entry Queue'!G23)))</x:f>
        <x:v>India</x:v>
      </x:c>
      <x:c r="I23" s="74" t="str">
        <x:f>IF('Entry Queue'!H23="","",PROPER(TRIM('Entry Queue'!H23)))</x:f>
        <x:v>South</x:v>
      </x:c>
      <x:c r="J23" s="74" t="str">
        <x:f>TRIM('Entry Queue'!I23)</x:f>
        <x:v>Outbound</x:v>
      </x:c>
      <x:c r="K23" s="74" t="str">
        <x:f>TRIM('Entry Queue'!J23)</x:f>
        <x:v>Education</x:v>
      </x:c>
      <x:c r="L23" s="74" t="str">
        <x:f>TRIM('Entry Queue'!K23)</x:f>
        <x:v>Active</x:v>
      </x:c>
      <x:c r="M23" s="75" t="n">
        <x:f>'Entry Queue'!L23</x:f>
        <x:v>46041</x:v>
      </x:c>
      <x:c r="N23" s="74" t="str">
        <x:f>'Entry Queue'!M23</x:f>
        <x:v>M. Rivera</x:v>
      </x:c>
      <x:c r="O23" s="76" t="str">
        <x:f>'QC Checks'!I23</x:f>
        <x:v>Ready</x:v>
      </x:c>
    </x:row>
    <x:row r="24" ht="21" customHeight="1">
      <x:c r="A24" s="77" t="str">
        <x:f>'Entry Queue'!A24</x:f>
        <x:v>C-2020</x:v>
      </x:c>
      <x:c r="B24" s="77" t="str">
        <x:f>IF('Entry Queue'!B24="","",PROPER(TRIM('Entry Queue'!B24)))</x:f>
        <x:v>Arjun</x:v>
      </x:c>
      <x:c r="C24" s="77" t="str">
        <x:f>IF('Entry Queue'!C24="","",PROPER(TRIM('Entry Queue'!C24)))</x:f>
        <x:v>Wright</x:v>
      </x:c>
      <x:c r="D24" s="77" t="str">
        <x:f>IF(OR(B24="",C24=""),"",B24&amp;" "&amp;C24)</x:f>
        <x:v>Arjun Wright</x:v>
      </x:c>
      <x:c r="E24" s="77" t="str">
        <x:f>IF('Entry Queue'!D24="","",PROPER(TRIM('Entry Queue'!D24)))</x:f>
        <x:v>Bridgewell Services</x:v>
      </x:c>
      <x:c r="F24" s="77" t="str">
        <x:f>IF('Entry Queue'!E24="","",LOWER(TRIM('Entry Queue'!E24)))</x:f>
        <x:v>arjun.wright1019@bridgewellservices.test</x:v>
      </x:c>
      <x:c r="G24" s="77" t="str">
        <x:f>TRIM('Entry Queue'!F24)</x:f>
        <x:v>+1-415-555-1019</x:v>
      </x:c>
      <x:c r="H24" s="77" t="str">
        <x:f>IF('Entry Queue'!G24="","",PROPER(TRIM('Entry Queue'!G24)))</x:f>
        <x:v>United Kingdom</x:v>
      </x:c>
      <x:c r="I24" s="77" t="str">
        <x:f>IF('Entry Queue'!H24="","",PROPER(TRIM('Entry Queue'!H24)))</x:f>
        <x:v>West</x:v>
      </x:c>
      <x:c r="J24" s="77" t="str">
        <x:f>TRIM('Entry Queue'!I24)</x:f>
        <x:v>Partner</x:v>
      </x:c>
      <x:c r="K24" s="77" t="str">
        <x:f>TRIM('Entry Queue'!J24)</x:f>
        <x:v>Enterprise</x:v>
      </x:c>
      <x:c r="L24" s="77" t="str">
        <x:f>TRIM('Entry Queue'!K24)</x:f>
        <x:v>Prospect</x:v>
      </x:c>
      <x:c r="M24" s="78" t="n">
        <x:f>'Entry Queue'!L24</x:f>
        <x:v>46073</x:v>
      </x:c>
      <x:c r="N24" s="77" t="str">
        <x:f>'Entry Queue'!M24</x:f>
        <x:v>K. Evans</x:v>
      </x:c>
      <x:c r="O24" s="79" t="str">
        <x:f>'QC Checks'!I24</x:f>
        <x:v>Ready</x:v>
      </x:c>
    </x:row>
    <x:row r="25" ht="21" customHeight="1">
      <x:c r="A25" s="74" t="str">
        <x:f>'Entry Queue'!A25</x:f>
        <x:v>C-2021</x:v>
      </x:c>
      <x:c r="B25" s="74" t="str">
        <x:f>IF('Entry Queue'!B25="","",PROPER(TRIM('Entry Queue'!B25)))</x:f>
        <x:v>Grace</x:v>
      </x:c>
      <x:c r="C25" s="74" t="str">
        <x:f>IF('Entry Queue'!C25="","",PROPER(TRIM('Entry Queue'!C25)))</x:f>
        <x:v>Fox</x:v>
      </x:c>
      <x:c r="D25" s="74" t="str">
        <x:f>IF(OR(B25="",C25=""),"",B25&amp;" "&amp;C25)</x:f>
        <x:v>Grace Fox</x:v>
      </x:c>
      <x:c r="E25" s="74" t="str">
        <x:f>IF('Entry Queue'!D25="","",PROPER(TRIM('Entry Queue'!D25)))</x:f>
        <x:v>Atlas Paper</x:v>
      </x:c>
      <x:c r="F25" s="74" t="str">
        <x:f>IF('Entry Queue'!E25="","",LOWER(TRIM('Entry Queue'!E25)))</x:f>
        <x:v>grace.fox1020@atlaspaper.test</x:v>
      </x:c>
      <x:c r="G25" s="74" t="str">
        <x:f>TRIM('Entry Queue'!F25)</x:f>
        <x:v>202 555 1020</x:v>
      </x:c>
      <x:c r="H25" s="74" t="str">
        <x:f>IF('Entry Queue'!G25="","",PROPER(TRIM('Entry Queue'!G25)))</x:f>
        <x:v>United States</x:v>
      </x:c>
      <x:c r="I25" s="74" t="str">
        <x:f>IF('Entry Queue'!H25="","",PROPER(TRIM('Entry Queue'!H25)))</x:f>
        <x:v>North</x:v>
      </x:c>
      <x:c r="J25" s="74" t="str">
        <x:f>TRIM('Entry Queue'!I25)</x:f>
        <x:v>Website</x:v>
      </x:c>
      <x:c r="K25" s="74" t="str">
        <x:f>TRIM('Entry Queue'!J25)</x:f>
        <x:v>Small business</x:v>
      </x:c>
      <x:c r="L25" s="74" t="str">
        <x:f>TRIM('Entry Queue'!K25)</x:f>
        <x:v>Inactive</x:v>
      </x:c>
      <x:c r="M25" s="75" t="n">
        <x:f>'Entry Queue'!L25</x:f>
        <x:v>46102</x:v>
      </x:c>
      <x:c r="N25" s="74" t="str">
        <x:f>'Entry Queue'!M25</x:f>
        <x:v>A. Patel</x:v>
      </x:c>
      <x:c r="O25" s="76" t="str">
        <x:f>'QC Checks'!I25</x:f>
        <x:v>Ready</x:v>
      </x:c>
    </x:row>
    <x:row r="26" ht="21" customHeight="1">
      <x:c r="A26" s="77" t="str">
        <x:f>'Entry Queue'!A26</x:f>
        <x:v>C-2022</x:v>
      </x:c>
      <x:c r="B26" s="77" t="str">
        <x:f>IF('Entry Queue'!B26="","",PROPER(TRIM('Entry Queue'!B26)))</x:f>
        <x:v>Daniel</x:v>
      </x:c>
      <x:c r="C26" s="77" t="str">
        <x:f>IF('Entry Queue'!C26="","",PROPER(TRIM('Entry Queue'!C26)))</x:f>
        <x:v>Patel</x:v>
      </x:c>
      <x:c r="D26" s="77" t="str">
        <x:f>IF(OR(B26="",C26=""),"",B26&amp;" "&amp;C26)</x:f>
        <x:v>Daniel Patel</x:v>
      </x:c>
      <x:c r="E26" s="77" t="str">
        <x:f>IF('Entry Queue'!D26="","",PROPER(TRIM('Entry Queue'!D26)))</x:f>
        <x:v>Evergreen Kitchen</x:v>
      </x:c>
      <x:c r="F26" s="77" t="str">
        <x:f>IF('Entry Queue'!E26="","",LOWER(TRIM('Entry Queue'!E26)))</x:f>
        <x:v>daniel.patel1021@evergreenkitchen.test</x:v>
      </x:c>
      <x:c r="G26" s="77" t="str">
        <x:f>TRIM('Entry Queue'!F26)</x:f>
        <x:v>+1 (202) 555-1021</x:v>
      </x:c>
      <x:c r="H26" s="77" t="str">
        <x:f>IF('Entry Queue'!G26="","",PROPER(TRIM('Entry Queue'!G26)))</x:f>
        <x:v>Australia</x:v>
      </x:c>
      <x:c r="I26" s="77" t="str">
        <x:f>IF('Entry Queue'!H26="","",PROPER(TRIM('Entry Queue'!H26)))</x:f>
        <x:v>Central</x:v>
      </x:c>
      <x:c r="J26" s="77" t="str">
        <x:f>TRIM('Entry Queue'!I26)</x:f>
        <x:v>Referral</x:v>
      </x:c>
      <x:c r="K26" s="77" t="str">
        <x:f>TRIM('Entry Queue'!J26)</x:f>
        <x:v>Nonprofit</x:v>
      </x:c>
      <x:c r="L26" s="77" t="str">
        <x:f>TRIM('Entry Queue'!K26)</x:f>
        <x:v>Active</x:v>
      </x:c>
      <x:c r="M26" s="78" t="n">
        <x:f>'Entry Queue'!L26</x:f>
        <x:v>46134</x:v>
      </x:c>
      <x:c r="N26" s="77" t="str">
        <x:f>'Entry Queue'!M26</x:f>
        <x:v>L. Brooks</x:v>
      </x:c>
      <x:c r="O26" s="79" t="str">
        <x:f>'QC Checks'!I26</x:f>
        <x:v>Ready</x:v>
      </x:c>
    </x:row>
    <x:row r="27" ht="21" customHeight="1">
      <x:c r="A27" s="74" t="str">
        <x:f>'Entry Queue'!A27</x:f>
        <x:v>C-2023</x:v>
      </x:c>
      <x:c r="B27" s="74" t="str">
        <x:f>IF('Entry Queue'!B27="","",PROPER(TRIM('Entry Queue'!B27)))</x:f>
        <x:v>Freya</x:v>
      </x:c>
      <x:c r="C27" s="74" t="str">
        <x:f>IF('Entry Queue'!C27="","",PROPER(TRIM('Entry Queue'!C27)))</x:f>
        <x:v>Haddad</x:v>
      </x:c>
      <x:c r="D27" s="74" t="str">
        <x:f>IF(OR(B27="",C27=""),"",B27&amp;" "&amp;C27)</x:f>
        <x:v>Freya Haddad</x:v>
      </x:c>
      <x:c r="E27" s="74" t="str">
        <x:f>IF('Entry Queue'!D27="","",PROPER(TRIM('Entry Queue'!D27)))</x:f>
        <x:v>Cedar &amp; Finch</x:v>
      </x:c>
      <x:c r="F27" s="74" t="str">
        <x:f>IF('Entry Queue'!E27="","",LOWER(TRIM('Entry Queue'!E27)))</x:f>
        <x:v>freya.haddad1022@cedarfinch.test</x:v>
      </x:c>
      <x:c r="G27" s="74" t="str">
        <x:f>TRIM('Entry Queue'!F27)</x:f>
        <x:v>+1-415-555-1022</x:v>
      </x:c>
      <x:c r="H27" s="74" t="str">
        <x:f>IF('Entry Queue'!G27="","",PROPER(TRIM('Entry Queue'!G27)))</x:f>
        <x:v>Canada</x:v>
      </x:c>
      <x:c r="I27" s="74" t="str">
        <x:f>IF('Entry Queue'!H27="","",PROPER(TRIM('Entry Queue'!H27)))</x:f>
        <x:v>International</x:v>
      </x:c>
      <x:c r="J27" s="74" t="str">
        <x:f>TRIM('Entry Queue'!I27)</x:f>
        <x:v>Trade show</x:v>
      </x:c>
      <x:c r="K27" s="74" t="str">
        <x:f>TRIM('Entry Queue'!J27)</x:f>
        <x:v>Mid-market</x:v>
      </x:c>
      <x:c r="L27" s="74" t="str">
        <x:f>TRIM('Entry Queue'!K27)</x:f>
        <x:v>Prospect</x:v>
      </x:c>
      <x:c r="M27" s="75" t="n">
        <x:f>'Entry Queue'!L27</x:f>
        <x:v>46165</x:v>
      </x:c>
      <x:c r="N27" s="74" t="str">
        <x:f>'Entry Queue'!M27</x:f>
        <x:v>R. Shah</x:v>
      </x:c>
      <x:c r="O27" s="76" t="str">
        <x:f>'QC Checks'!I27</x:f>
        <x:v>Ready</x:v>
      </x:c>
    </x:row>
    <x:row r="28" ht="21" customHeight="1">
      <x:c r="A28" s="77" t="str">
        <x:f>'Entry Queue'!A28</x:f>
        <x:v>C-2024</x:v>
      </x:c>
      <x:c r="B28" s="77" t="str">
        <x:f>IF('Entry Queue'!B28="","",PROPER(TRIM('Entry Queue'!B28)))</x:f>
        <x:v>Theo</x:v>
      </x:c>
      <x:c r="C28" s="77" t="str">
        <x:f>IF('Entry Queue'!C28="","",PROPER(TRIM('Entry Queue'!C28)))</x:f>
        <x:v>Khan</x:v>
      </x:c>
      <x:c r="D28" s="77" t="str">
        <x:f>IF(OR(B28="",C28=""),"",B28&amp;" "&amp;C28)</x:f>
        <x:v>Theo Khan</x:v>
      </x:c>
      <x:c r="E28" s="77" t="str">
        <x:f>IF('Entry Queue'!D28="","",PROPER(TRIM('Entry Queue'!D28)))</x:f>
        <x:v>Fieldstone Home</x:v>
      </x:c>
      <x:c r="F28" s="77" t="str">
        <x:f>IF('Entry Queue'!E28="","",LOWER(TRIM('Entry Queue'!E28)))</x:f>
        <x:v>theo.khan1023@fieldstonehome.test</x:v>
      </x:c>
      <x:c r="G28" s="77" t="str">
        <x:f>TRIM('Entry Queue'!F28)</x:f>
        <x:v>202 555 1023</x:v>
      </x:c>
      <x:c r="H28" s="77" t="str">
        <x:f>IF('Entry Queue'!G28="","",PROPER(TRIM('Entry Queue'!G28)))</x:f>
        <x:v>India</x:v>
      </x:c>
      <x:c r="I28" s="77" t="str">
        <x:f>IF('Entry Queue'!H28="","",PROPER(TRIM('Entry Queue'!H28)))</x:f>
        <x:v>South</x:v>
      </x:c>
      <x:c r="J28" s="77" t="str">
        <x:f>TRIM('Entry Queue'!I28)</x:f>
        <x:v>Outbound</x:v>
      </x:c>
      <x:c r="K28" s="77" t="str">
        <x:f>TRIM('Entry Queue'!J28)</x:f>
        <x:v>Education</x:v>
      </x:c>
      <x:c r="L28" s="77" t="str">
        <x:f>TRIM('Entry Queue'!K28)</x:f>
        <x:v>Inactive</x:v>
      </x:c>
      <x:c r="M28" s="78" t="n">
        <x:f>'Entry Queue'!L28</x:f>
        <x:v>46197</x:v>
      </x:c>
      <x:c r="N28" s="77" t="str">
        <x:f>'Entry Queue'!M28</x:f>
        <x:v>M. Rivera</x:v>
      </x:c>
      <x:c r="O28" s="79" t="str">
        <x:f>'QC Checks'!I28</x:f>
        <x:v>Ready</x:v>
      </x:c>
    </x:row>
    <x:row r="29" ht="21" customHeight="1">
      <x:c r="A29" s="74" t="str">
        <x:f>'Entry Queue'!A29</x:f>
        <x:v>C-2025</x:v>
      </x:c>
      <x:c r="B29" s="74" t="str">
        <x:f>IF('Entry Queue'!B29="","",PROPER(TRIM('Entry Queue'!B29)))</x:f>
        <x:v>Anika</x:v>
      </x:c>
      <x:c r="C29" s="74" t="str">
        <x:f>IF('Entry Queue'!C29="","",PROPER(TRIM('Entry Queue'!C29)))</x:f>
        <x:v>Mehta</x:v>
      </x:c>
      <x:c r="D29" s="74" t="str">
        <x:f>IF(OR(B29="",C29=""),"",B29&amp;" "&amp;C29)</x:f>
        <x:v>Anika Mehta</x:v>
      </x:c>
      <x:c r="E29" s="74" t="str">
        <x:f>IF('Entry Queue'!D29="","",PROPER(TRIM('Entry Queue'!D29)))</x:f>
        <x:v>Maple Row</x:v>
      </x:c>
      <x:c r="F29" s="74" t="str">
        <x:f>IF('Entry Queue'!E29="","",LOWER(TRIM('Entry Queue'!E29)))</x:f>
        <x:v>anika.mehta1024@maplerow.test</x:v>
      </x:c>
      <x:c r="G29" s="74" t="str">
        <x:f>TRIM('Entry Queue'!F29)</x:f>
        <x:v>+1 (202) 555-1024</x:v>
      </x:c>
      <x:c r="H29" s="74" t="str">
        <x:f>IF('Entry Queue'!G29="","",PROPER(TRIM('Entry Queue'!G29)))</x:f>
        <x:v>United Kingdom</x:v>
      </x:c>
      <x:c r="I29" s="74" t="str">
        <x:f>IF('Entry Queue'!H29="","",PROPER(TRIM('Entry Queue'!H29)))</x:f>
        <x:v>West</x:v>
      </x:c>
      <x:c r="J29" s="74" t="str">
        <x:f>TRIM('Entry Queue'!I29)</x:f>
        <x:v>Partner</x:v>
      </x:c>
      <x:c r="K29" s="74" t="str">
        <x:f>TRIM('Entry Queue'!J29)</x:f>
        <x:v>Enterprise</x:v>
      </x:c>
      <x:c r="L29" s="74" t="str">
        <x:f>TRIM('Entry Queue'!K29)</x:f>
        <x:v>Active</x:v>
      </x:c>
      <x:c r="M29" s="75" t="n">
        <x:f>'Entry Queue'!L29</x:f>
        <x:v>46228</x:v>
      </x:c>
      <x:c r="N29" s="74" t="str">
        <x:f>'Entry Queue'!M29</x:f>
        <x:v>K. Evans</x:v>
      </x:c>
      <x:c r="O29" s="76" t="str">
        <x:f>'QC Checks'!I29</x:f>
        <x:v>Ready</x:v>
      </x:c>
    </x:row>
    <x:row r="30" ht="21" customHeight="1">
      <x:c r="A30" s="77" t="str">
        <x:f>'Entry Queue'!A30</x:f>
        <x:v>C-2026</x:v>
      </x:c>
      <x:c r="B30" s="77" t="str">
        <x:f>IF('Entry Queue'!B30="","",PROPER(TRIM('Entry Queue'!B30)))</x:f>
        <x:v>Miles</x:v>
      </x:c>
      <x:c r="C30" s="77" t="str">
        <x:f>IF('Entry Queue'!C30="","",PROPER(TRIM('Entry Queue'!C30)))</x:f>
        <x:v>Bennett</x:v>
      </x:c>
      <x:c r="D30" s="77" t="str">
        <x:f>IF(OR(B30="",C30=""),"",B30&amp;" "&amp;C30)</x:f>
        <x:v>Miles Bennett</x:v>
      </x:c>
      <x:c r="E30" s="77" t="str">
        <x:f>IF('Entry Queue'!D30="","",PROPER(TRIM('Entry Queue'!D30)))</x:f>
        <x:v>Silver Birch Co</x:v>
      </x:c>
      <x:c r="F30" s="77" t="str">
        <x:f>IF('Entry Queue'!E30="","",LOWER(TRIM('Entry Queue'!E30)))</x:f>
        <x:v>miles.bennett1025@silverbirchco.test</x:v>
      </x:c>
      <x:c r="G30" s="77" t="str">
        <x:f>TRIM('Entry Queue'!F30)</x:f>
        <x:v>+1-415-555-1025</x:v>
      </x:c>
      <x:c r="H30" s="77" t="str">
        <x:f>IF('Entry Queue'!G30="","",PROPER(TRIM('Entry Queue'!G30)))</x:f>
        <x:v>United States</x:v>
      </x:c>
      <x:c r="I30" s="77" t="str">
        <x:f>IF('Entry Queue'!H30="","",PROPER(TRIM('Entry Queue'!H30)))</x:f>
        <x:v>North</x:v>
      </x:c>
      <x:c r="J30" s="77" t="str">
        <x:f>TRIM('Entry Queue'!I30)</x:f>
        <x:v>Website</x:v>
      </x:c>
      <x:c r="K30" s="77" t="str">
        <x:f>TRIM('Entry Queue'!J30)</x:f>
        <x:v>Small business</x:v>
      </x:c>
      <x:c r="L30" s="77" t="str">
        <x:f>TRIM('Entry Queue'!K30)</x:f>
        <x:v>Prospect</x:v>
      </x:c>
      <x:c r="M30" s="78" t="n">
        <x:f>'Entry Queue'!L30</x:f>
        <x:v>46260</x:v>
      </x:c>
      <x:c r="N30" s="77" t="str">
        <x:f>'Entry Queue'!M30</x:f>
        <x:v>A. Patel</x:v>
      </x:c>
      <x:c r="O30" s="79" t="str">
        <x:f>'QC Checks'!I30</x:f>
        <x:v>Ready</x:v>
      </x:c>
    </x:row>
    <x:row r="31" ht="21" customHeight="1">
      <x:c r="A31" s="74" t="str">
        <x:f>'Entry Queue'!A31</x:f>
        <x:v>C-2027</x:v>
      </x:c>
      <x:c r="B31" s="74" t="str">
        <x:f>IF('Entry Queue'!B31="","",PROPER(TRIM('Entry Queue'!B31)))</x:f>
        <x:v>Talia</x:v>
      </x:c>
      <x:c r="C31" s="74" t="str">
        <x:f>IF('Entry Queue'!C31="","",PROPER(TRIM('Entry Queue'!C31)))</x:f>
        <x:v>Nair</x:v>
      </x:c>
      <x:c r="D31" s="74" t="str">
        <x:f>IF(OR(B31="",C31=""),"",B31&amp;" "&amp;C31)</x:f>
        <x:v>Talia Nair</x:v>
      </x:c>
      <x:c r="E31" s="74" t="str">
        <x:f>IF('Entry Queue'!D31="","",PROPER(TRIM('Entry Queue'!D31)))</x:f>
        <x:v>East Bay Books</x:v>
      </x:c>
      <x:c r="F31" s="74" t="str">
        <x:f>IF('Entry Queue'!E31="","",LOWER(TRIM('Entry Queue'!E31)))</x:f>
        <x:v>talia.nair1026@eastbaybooks.test</x:v>
      </x:c>
      <x:c r="G31" s="74" t="str">
        <x:f>TRIM('Entry Queue'!F31)</x:f>
        <x:v>12-45</x:v>
      </x:c>
      <x:c r="H31" s="74" t="str">
        <x:f>IF('Entry Queue'!G31="","",PROPER(TRIM('Entry Queue'!G31)))</x:f>
        <x:v>Australia</x:v>
      </x:c>
      <x:c r="I31" s="74" t="str">
        <x:f>IF('Entry Queue'!H31="","",PROPER(TRIM('Entry Queue'!H31)))</x:f>
        <x:v>Central</x:v>
      </x:c>
      <x:c r="J31" s="74" t="str">
        <x:f>TRIM('Entry Queue'!I31)</x:f>
        <x:v>Referral</x:v>
      </x:c>
      <x:c r="K31" s="74" t="str">
        <x:f>TRIM('Entry Queue'!J31)</x:f>
        <x:v>Nonprofit</x:v>
      </x:c>
      <x:c r="L31" s="74" t="str">
        <x:f>TRIM('Entry Queue'!K31)</x:f>
        <x:v>Inactive</x:v>
      </x:c>
      <x:c r="M31" s="75" t="n">
        <x:f>'Entry Queue'!L31</x:f>
        <x:v>46292</x:v>
      </x:c>
      <x:c r="N31" s="74" t="str">
        <x:f>'Entry Queue'!M31</x:f>
        <x:v>L. Brooks</x:v>
      </x:c>
      <x:c r="O31" s="76" t="str">
        <x:f>'QC Checks'!I31</x:f>
        <x:v>Check phone length</x:v>
      </x:c>
    </x:row>
    <x:row r="32" ht="21" customHeight="1">
      <x:c r="A32" s="77" t="str">
        <x:f>'Entry Queue'!A32</x:f>
        <x:v>C-2028</x:v>
      </x:c>
      <x:c r="B32" s="77" t="str">
        <x:f>IF('Entry Queue'!B32="","",PROPER(TRIM('Entry Queue'!B32)))</x:f>
        <x:v>Ravi</x:v>
      </x:c>
      <x:c r="C32" s="77" t="str">
        <x:f>IF('Entry Queue'!C32="","",PROPER(TRIM('Entry Queue'!C32)))</x:f>
        <x:v>Kim</x:v>
      </x:c>
      <x:c r="D32" s="77" t="str">
        <x:f>IF(OR(B32="",C32=""),"",B32&amp;" "&amp;C32)</x:f>
        <x:v>Ravi Kim</x:v>
      </x:c>
      <x:c r="E32" s="77" t="str">
        <x:f>IF('Entry Queue'!D32="","",PROPER(TRIM('Entry Queue'!D32)))</x:f>
        <x:v>Tandem Outfitters</x:v>
      </x:c>
      <x:c r="F32" s="77" t="str">
        <x:f>IF('Entry Queue'!E32="","",LOWER(TRIM('Entry Queue'!E32)))</x:f>
        <x:v>ravi.kim1027@tandemoutfitters.test</x:v>
      </x:c>
      <x:c r="G32" s="77" t="str">
        <x:f>TRIM('Entry Queue'!F32)</x:f>
        <x:v>+1 (202) 555-1027</x:v>
      </x:c>
      <x:c r="H32" s="77" t="str">
        <x:f>IF('Entry Queue'!G32="","",PROPER(TRIM('Entry Queue'!G32)))</x:f>
        <x:v>Canada</x:v>
      </x:c>
      <x:c r="I32" s="77" t="str">
        <x:f>IF('Entry Queue'!H32="","",PROPER(TRIM('Entry Queue'!H32)))</x:f>
        <x:v>International</x:v>
      </x:c>
      <x:c r="J32" s="77" t="str">
        <x:f>TRIM('Entry Queue'!I32)</x:f>
        <x:v>Trade show</x:v>
      </x:c>
      <x:c r="K32" s="77" t="str">
        <x:f>TRIM('Entry Queue'!J32)</x:f>
        <x:v>Mid-market</x:v>
      </x:c>
      <x:c r="L32" s="77" t="str">
        <x:f>TRIM('Entry Queue'!K32)</x:f>
        <x:v>Active</x:v>
      </x:c>
      <x:c r="M32" s="78" t="n">
        <x:f>'Entry Queue'!L32</x:f>
        <x:v>46023</x:v>
      </x:c>
      <x:c r="N32" s="77" t="str">
        <x:f>'Entry Queue'!M32</x:f>
        <x:v>R. Shah</x:v>
      </x:c>
      <x:c r="O32" s="79" t="str">
        <x:f>'QC Checks'!I32</x:f>
        <x:v>Ready</x:v>
      </x:c>
    </x:row>
    <x:row r="33" ht="21" customHeight="1">
      <x:c r="A33" s="74" t="str">
        <x:f>'Entry Queue'!A33</x:f>
        <x:v>C-2029</x:v>
      </x:c>
      <x:c r="B33" s="74" t="str">
        <x:f>IF('Entry Queue'!B33="","",PROPER(TRIM('Entry Queue'!B33)))</x:f>
        <x:v>Elena</x:v>
      </x:c>
      <x:c r="C33" s="74" t="str">
        <x:f>IF('Entry Queue'!C33="","",PROPER(TRIM('Entry Queue'!C33)))</x:f>
        <x:v>Brown</x:v>
      </x:c>
      <x:c r="D33" s="74" t="str">
        <x:f>IF(OR(B33="",C33=""),"",B33&amp;" "&amp;C33)</x:f>
        <x:v>Elena Brown</x:v>
      </x:c>
      <x:c r="E33" s="74" t="str">
        <x:f>IF('Entry Queue'!D33="","",PROPER(TRIM('Entry Queue'!D33)))</x:f>
        <x:v>Willow &amp; West</x:v>
      </x:c>
      <x:c r="F33" s="74" t="str">
        <x:f>IF('Entry Queue'!E33="","",LOWER(TRIM('Entry Queue'!E33)))</x:f>
        <x:v>elena.brown1028@willowwest.test</x:v>
      </x:c>
      <x:c r="G33" s="74" t="str">
        <x:f>TRIM('Entry Queue'!F33)</x:f>
        <x:v>+1-415-555-1028</x:v>
      </x:c>
      <x:c r="H33" s="74" t="str">
        <x:f>IF('Entry Queue'!G33="","",PROPER(TRIM('Entry Queue'!G33)))</x:f>
        <x:v>India</x:v>
      </x:c>
      <x:c r="I33" s="74" t="str">
        <x:f>IF('Entry Queue'!H33="","",PROPER(TRIM('Entry Queue'!H33)))</x:f>
        <x:v>South</x:v>
      </x:c>
      <x:c r="J33" s="74" t="str">
        <x:f>TRIM('Entry Queue'!I33)</x:f>
        <x:v>Outbound</x:v>
      </x:c>
      <x:c r="K33" s="74" t="str">
        <x:f>TRIM('Entry Queue'!J33)</x:f>
        <x:v>Education</x:v>
      </x:c>
      <x:c r="L33" s="74" t="str">
        <x:f>TRIM('Entry Queue'!K33)</x:f>
        <x:v>Prospect</x:v>
      </x:c>
      <x:c r="M33" s="75" t="n">
        <x:f>'Entry Queue'!L33</x:f>
        <x:v>46055</x:v>
      </x:c>
      <x:c r="N33" s="74" t="str">
        <x:f>'Entry Queue'!M33</x:f>
        <x:v>M. Rivera</x:v>
      </x:c>
      <x:c r="O33" s="76" t="str">
        <x:f>'QC Checks'!I33</x:f>
        <x:v>Ready</x:v>
      </x:c>
    </x:row>
    <x:row r="34" ht="21" customHeight="1">
      <x:c r="A34" s="77" t="str">
        <x:f>'Entry Queue'!A34</x:f>
        <x:v>C-2030</x:v>
      </x:c>
      <x:c r="B34" s="77" t="str">
        <x:f>IF('Entry Queue'!B34="","",PROPER(TRIM('Entry Queue'!B34)))</x:f>
        <x:v>Sam</x:v>
      </x:c>
      <x:c r="C34" s="77" t="str">
        <x:f>IF('Entry Queue'!C34="","",PROPER(TRIM('Entry Queue'!C34)))</x:f>
        <x:v>Shah</x:v>
      </x:c>
      <x:c r="D34" s="77" t="str">
        <x:f>IF(OR(B34="",C34=""),"",B34&amp;" "&amp;C34)</x:f>
        <x:v>Sam Shah</x:v>
      </x:c>
      <x:c r="E34" s="77" t="str">
        <x:f>IF('Entry Queue'!D34="","",PROPER(TRIM('Entry Queue'!D34)))</x:f>
        <x:v>Solstice Supply</x:v>
      </x:c>
      <x:c r="F34" s="77" t="str">
        <x:f>IF('Entry Queue'!E34="","",LOWER(TRIM('Entry Queue'!E34)))</x:f>
        <x:v>sam.shah1029@solsticesupply.test</x:v>
      </x:c>
      <x:c r="G34" s="77" t="str">
        <x:f>TRIM('Entry Queue'!F34)</x:f>
        <x:v>202 555 1029</x:v>
      </x:c>
      <x:c r="H34" s="77" t="str">
        <x:f>IF('Entry Queue'!G34="","",PROPER(TRIM('Entry Queue'!G34)))</x:f>
        <x:v>United Kingdom</x:v>
      </x:c>
      <x:c r="I34" s="77" t="str">
        <x:f>IF('Entry Queue'!H34="","",PROPER(TRIM('Entry Queue'!H34)))</x:f>
        <x:v>West</x:v>
      </x:c>
      <x:c r="J34" s="77" t="str">
        <x:f>TRIM('Entry Queue'!I34)</x:f>
        <x:v>Partner</x:v>
      </x:c>
      <x:c r="K34" s="77" t="str">
        <x:f>TRIM('Entry Queue'!J34)</x:f>
        <x:v>Enterprise</x:v>
      </x:c>
      <x:c r="L34" s="77" t="str">
        <x:f>TRIM('Entry Queue'!K34)</x:f>
        <x:v>Inactive</x:v>
      </x:c>
      <x:c r="M34" s="78" t="n">
        <x:f>'Entry Queue'!L34</x:f>
        <x:v>46084</x:v>
      </x:c>
      <x:c r="N34" s="77" t="str">
        <x:f>'Entry Queue'!M34</x:f>
        <x:v>K. Evans</x:v>
      </x:c>
      <x:c r="O34" s="79" t="str">
        <x:f>'QC Checks'!I34</x:f>
        <x:v>Ready</x:v>
      </x:c>
    </x:row>
    <x:row r="35" ht="21" customHeight="1">
      <x:c r="A35" s="74" t="str">
        <x:f>'Entry Queue'!A35</x:f>
        <x:v>C-2031</x:v>
      </x:c>
      <x:c r="B35" s="74" t="str">
        <x:f>IF('Entry Queue'!B35="","",PROPER(TRIM('Entry Queue'!B35)))</x:f>
        <x:v>Maya</x:v>
      </x:c>
      <x:c r="C35" s="74" t="str">
        <x:f>IF('Entry Queue'!C35="","",PROPER(TRIM('Entry Queue'!C35)))</x:f>
        <x:v>Chen</x:v>
      </x:c>
      <x:c r="D35" s="74" t="str">
        <x:f>IF(OR(B35="",C35=""),"",B35&amp;" "&amp;C35)</x:f>
        <x:v>Maya Chen</x:v>
      </x:c>
      <x:c r="E35" s="74" t="str">
        <x:f>IF('Entry Queue'!D35="","",PROPER(TRIM('Entry Queue'!D35)))</x:f>
        <x:v>Northstar Supply</x:v>
      </x:c>
      <x:c r="F35" s="74" t="str">
        <x:f>IF('Entry Queue'!E35="","",LOWER(TRIM('Entry Queue'!E35)))</x:f>
        <x:v>maya.chen1030@northstarsupply.test</x:v>
      </x:c>
      <x:c r="G35" s="74" t="str">
        <x:f>TRIM('Entry Queue'!F35)</x:f>
        <x:v>+1 (202) 555-1030</x:v>
      </x:c>
      <x:c r="H35" s="74" t="str">
        <x:f>IF('Entry Queue'!G35="","",PROPER(TRIM('Entry Queue'!G35)))</x:f>
        <x:v>United States</x:v>
      </x:c>
      <x:c r="I35" s="74" t="str">
        <x:f>IF('Entry Queue'!H35="","",PROPER(TRIM('Entry Queue'!H35)))</x:f>
        <x:v>North</x:v>
      </x:c>
      <x:c r="J35" s="74" t="str">
        <x:f>TRIM('Entry Queue'!I35)</x:f>
        <x:v>Website</x:v>
      </x:c>
      <x:c r="K35" s="74" t="str">
        <x:f>TRIM('Entry Queue'!J35)</x:f>
        <x:v>Small business</x:v>
      </x:c>
      <x:c r="L35" s="74" t="str">
        <x:f>TRIM('Entry Queue'!K35)</x:f>
        <x:v>Active</x:v>
      </x:c>
      <x:c r="M35" s="75" t="n">
        <x:f>'Entry Queue'!L35</x:f>
        <x:v>46116</x:v>
      </x:c>
      <x:c r="N35" s="74" t="str">
        <x:f>'Entry Queue'!M35</x:f>
        <x:v>A. Patel</x:v>
      </x:c>
      <x:c r="O35" s="76" t="str">
        <x:f>'QC Checks'!I35</x:f>
        <x:v>Ready</x:v>
      </x:c>
    </x:row>
    <x:row r="36" ht="21" customHeight="1">
      <x:c r="A36" s="77" t="str">
        <x:f>'Entry Queue'!A36</x:f>
        <x:v>C-2001</x:v>
      </x:c>
      <x:c r="B36" s="77" t="str">
        <x:f>IF('Entry Queue'!B36="","",PROPER(TRIM('Entry Queue'!B36)))</x:f>
        <x:v>Jonah</x:v>
      </x:c>
      <x:c r="C36" s="77" t="str">
        <x:f>IF('Entry Queue'!C36="","",PROPER(TRIM('Entry Queue'!C36)))</x:f>
        <x:v>Cole</x:v>
      </x:c>
      <x:c r="D36" s="77" t="str">
        <x:f>IF(OR(B36="",C36=""),"",B36&amp;" "&amp;C36)</x:f>
        <x:v>Jonah Cole</x:v>
      </x:c>
      <x:c r="E36" s="77" t="str">
        <x:f>IF('Entry Queue'!D36="","",PROPER(TRIM('Entry Queue'!D36)))</x:f>
        <x:v>Meridian Goods</x:v>
      </x:c>
      <x:c r="F36" s="77" t="str">
        <x:f>IF('Entry Queue'!E36="","",LOWER(TRIM('Entry Queue'!E36)))</x:f>
        <x:v>jonah.cole1031@meridiangoods.test</x:v>
      </x:c>
      <x:c r="G36" s="77" t="str">
        <x:f>TRIM('Entry Queue'!F36)</x:f>
        <x:v>+1-415-555-1031</x:v>
      </x:c>
      <x:c r="H36" s="77" t="str">
        <x:f>IF('Entry Queue'!G36="","",PROPER(TRIM('Entry Queue'!G36)))</x:f>
        <x:v>Australia</x:v>
      </x:c>
      <x:c r="I36" s="77" t="str">
        <x:f>IF('Entry Queue'!H36="","",PROPER(TRIM('Entry Queue'!H36)))</x:f>
        <x:v>Central</x:v>
      </x:c>
      <x:c r="J36" s="77" t="str">
        <x:f>TRIM('Entry Queue'!I36)</x:f>
        <x:v>Referral</x:v>
      </x:c>
      <x:c r="K36" s="77" t="str">
        <x:f>TRIM('Entry Queue'!J36)</x:f>
        <x:v>Nonprofit</x:v>
      </x:c>
      <x:c r="L36" s="77" t="str">
        <x:f>TRIM('Entry Queue'!K36)</x:f>
        <x:v>Prospect</x:v>
      </x:c>
      <x:c r="M36" s="78" t="n">
        <x:f>'Entry Queue'!L36</x:f>
        <x:v>46147</x:v>
      </x:c>
      <x:c r="N36" s="77" t="str">
        <x:f>'Entry Queue'!M36</x:f>
        <x:v>L. Brooks</x:v>
      </x:c>
      <x:c r="O36" s="79" t="str">
        <x:f>'QC Checks'!I36</x:f>
        <x:v>Duplicate record ID</x:v>
      </x:c>
    </x:row>
    <x:row r="37" ht="21" customHeight="1">
      <x:c r="A37" s="74" t="str">
        <x:f>'Entry Queue'!A37</x:f>
        <x:v>C-2033</x:v>
      </x:c>
      <x:c r="B37" s="74" t="str">
        <x:f>IF('Entry Queue'!B37="","",PROPER(TRIM('Entry Queue'!B37)))</x:f>
        <x:v>Priya</x:v>
      </x:c>
      <x:c r="C37" s="74" t="str">
        <x:f>IF('Entry Queue'!C37="","",PROPER(TRIM('Entry Queue'!C37)))</x:f>
        <x:v>Mahmood</x:v>
      </x:c>
      <x:c r="D37" s="74" t="str">
        <x:f>IF(OR(B37="",C37=""),"",B37&amp;" "&amp;C37)</x:f>
        <x:v>Priya Mahmood</x:v>
      </x:c>
      <x:c r="E37" s="74" t="str">
        <x:f>IF('Entry Queue'!D37="","",PROPER(TRIM('Entry Queue'!D37)))</x:f>
        <x:v>Sunbeam Stationery</x:v>
      </x:c>
      <x:c r="F37" s="74" t="str">
        <x:f>IF('Entry Queue'!E37="","",LOWER(TRIM('Entry Queue'!E37)))</x:f>
        <x:v>priya.mahmood1032@sunbeamstationery.test</x:v>
      </x:c>
      <x:c r="G37" s="74" t="str">
        <x:f>TRIM('Entry Queue'!F37)</x:f>
        <x:v>202 555 1032</x:v>
      </x:c>
      <x:c r="H37" s="74" t="str">
        <x:f>IF('Entry Queue'!G37="","",PROPER(TRIM('Entry Queue'!G37)))</x:f>
        <x:v>Canada</x:v>
      </x:c>
      <x:c r="I37" s="74" t="str">
        <x:f>IF('Entry Queue'!H37="","",PROPER(TRIM('Entry Queue'!H37)))</x:f>
        <x:v>International</x:v>
      </x:c>
      <x:c r="J37" s="74" t="str">
        <x:f>TRIM('Entry Queue'!I37)</x:f>
        <x:v>Trade show</x:v>
      </x:c>
      <x:c r="K37" s="74" t="str">
        <x:f>TRIM('Entry Queue'!J37)</x:f>
        <x:v>Mid-market</x:v>
      </x:c>
      <x:c r="L37" s="74" t="str">
        <x:f>TRIM('Entry Queue'!K37)</x:f>
        <x:v>Inactive</x:v>
      </x:c>
      <x:c r="M37" s="75" t="n">
        <x:f>'Entry Queue'!L37</x:f>
        <x:v>46179</x:v>
      </x:c>
      <x:c r="N37" s="74" t="str">
        <x:f>'Entry Queue'!M37</x:f>
        <x:v>R. Shah</x:v>
      </x:c>
      <x:c r="O37" s="76" t="str">
        <x:f>'QC Checks'!I37</x:f>
        <x:v>Ready</x:v>
      </x:c>
    </x:row>
    <x:row r="38" ht="21" customHeight="1">
      <x:c r="A38" s="77" t="str">
        <x:f>'Entry Queue'!A38</x:f>
        <x:v>C-2034</x:v>
      </x:c>
      <x:c r="B38" s="77" t="str">
        <x:f>IF('Entry Queue'!B38="","",PROPER(TRIM('Entry Queue'!B38)))</x:f>
        <x:v>Owen</x:v>
      </x:c>
      <x:c r="C38" s="77" t="str">
        <x:f>IF('Entry Queue'!C38="","",PROPER(TRIM('Entry Queue'!C38)))</x:f>
        <x:v>Olsen</x:v>
      </x:c>
      <x:c r="D38" s="77" t="str">
        <x:f>IF(OR(B38="",C38=""),"",B38&amp;" "&amp;C38)</x:f>
        <x:v>Owen Olsen</x:v>
      </x:c>
      <x:c r="E38" s="77" t="str">
        <x:f>IF('Entry Queue'!D38="","",PROPER(TRIM('Entry Queue'!D38)))</x:f>
        <x:v>Juniper Retail</x:v>
      </x:c>
      <x:c r="F38" s="77" t="str">
        <x:f>IF('Entry Queue'!E38="","",LOWER(TRIM('Entry Queue'!E38)))</x:f>
        <x:v>owen.olsen1033@juniperretail.test</x:v>
      </x:c>
      <x:c r="G38" s="77" t="str">
        <x:f>TRIM('Entry Queue'!F38)</x:f>
        <x:v>+1 (202) 555-1033</x:v>
      </x:c>
      <x:c r="H38" s="77" t="str">
        <x:f>IF('Entry Queue'!G38="","",PROPER(TRIM('Entry Queue'!G38)))</x:f>
        <x:v>India</x:v>
      </x:c>
      <x:c r="I38" s="77" t="str">
        <x:f>IF('Entry Queue'!H38="","",PROPER(TRIM('Entry Queue'!H38)))</x:f>
        <x:v>South</x:v>
      </x:c>
      <x:c r="J38" s="77" t="str">
        <x:f>TRIM('Entry Queue'!I38)</x:f>
        <x:v>Outbound</x:v>
      </x:c>
      <x:c r="K38" s="77" t="str">
        <x:f>TRIM('Entry Queue'!J38)</x:f>
        <x:v>Education</x:v>
      </x:c>
      <x:c r="L38" s="77" t="str">
        <x:f>TRIM('Entry Queue'!K38)</x:f>
        <x:v>Active</x:v>
      </x:c>
      <x:c r="M38" s="78" t="n">
        <x:f>'Entry Queue'!L38</x:f>
        <x:v>46210</x:v>
      </x:c>
      <x:c r="N38" s="77" t="str">
        <x:f>'Entry Queue'!M38</x:f>
        <x:v>M. Rivera</x:v>
      </x:c>
      <x:c r="O38" s="79" t="str">
        <x:f>'QC Checks'!I38</x:f>
        <x:v>Ready</x:v>
      </x:c>
    </x:row>
    <x:row r="39" ht="21" customHeight="1">
      <x:c r="A39" s="74" t="str">
        <x:f>'Entry Queue'!A39</x:f>
        <x:v>C-2035</x:v>
      </x:c>
      <x:c r="B39" s="74" t="str">
        <x:f>IF('Entry Queue'!B39="","",PROPER(TRIM('Entry Queue'!B39)))</x:f>
        <x:v>Leila</x:v>
      </x:c>
      <x:c r="C39" s="74" t="str">
        <x:f>IF('Entry Queue'!C39="","",PROPER(TRIM('Entry Queue'!C39)))</x:f>
        <x:v>Clark</x:v>
      </x:c>
      <x:c r="D39" s="74" t="str">
        <x:f>IF(OR(B39="",C39=""),"",B39&amp;" "&amp;C39)</x:f>
        <x:v>Leila Clark</x:v>
      </x:c>
      <x:c r="E39" s="74" t="str">
        <x:f>IF('Entry Queue'!D39="","",PROPER(TRIM('Entry Queue'!D39)))</x:f>
        <x:v>Brightwell Design</x:v>
      </x:c>
      <x:c r="F39" s="74" t="str">
        <x:f>IF('Entry Queue'!E39="","",LOWER(TRIM('Entry Queue'!E39)))</x:f>
        <x:v>leila.clark1034@brightwelldesign.test</x:v>
      </x:c>
      <x:c r="G39" s="74" t="str">
        <x:f>TRIM('Entry Queue'!F39)</x:f>
        <x:v>+1-415-555-1034</x:v>
      </x:c>
      <x:c r="H39" s="74" t="str">
        <x:f>IF('Entry Queue'!G39="","",PROPER(TRIM('Entry Queue'!G39)))</x:f>
        <x:v>United Kingdom</x:v>
      </x:c>
      <x:c r="I39" s="74" t="str">
        <x:f>IF('Entry Queue'!H39="","",PROPER(TRIM('Entry Queue'!H39)))</x:f>
        <x:v>West</x:v>
      </x:c>
      <x:c r="J39" s="74" t="str">
        <x:f>TRIM('Entry Queue'!I39)</x:f>
        <x:v>Partner</x:v>
      </x:c>
      <x:c r="K39" s="74" t="str">
        <x:f>TRIM('Entry Queue'!J39)</x:f>
        <x:v>Enterprise</x:v>
      </x:c>
      <x:c r="L39" s="74" t="str">
        <x:f>TRIM('Entry Queue'!K39)</x:f>
        <x:v>Prospect</x:v>
      </x:c>
      <x:c r="M39" s="75" t="n">
        <x:f>'Entry Queue'!L39</x:f>
        <x:v>46242</x:v>
      </x:c>
      <x:c r="N39" s="74" t="str">
        <x:f>'Entry Queue'!M39</x:f>
        <x:v>K. Evans</x:v>
      </x:c>
      <x:c r="O39" s="76" t="str">
        <x:f>'QC Checks'!I39</x:f>
        <x:v>Ready</x:v>
      </x:c>
    </x:row>
    <x:row r="40" ht="21" customHeight="1">
      <x:c r="A40" s="77" t="str">
        <x:f>'Entry Queue'!A40</x:f>
        <x:v>C-2036</x:v>
      </x:c>
      <x:c r="B40" s="77" t="str">
        <x:f>IF('Entry Queue'!B40="","",PROPER(TRIM('Entry Queue'!B40)))</x:f>
      </x:c>
      <x:c r="C40" s="77" t="str">
        <x:f>IF('Entry Queue'!C40="","",PROPER(TRIM('Entry Queue'!C40)))</x:f>
        <x:v>Silva</x:v>
      </x:c>
      <x:c r="D40" s="77" t="str">
        <x:f>IF(OR(B40="",C40=""),"",B40&amp;" "&amp;C40)</x:f>
      </x:c>
      <x:c r="E40" s="77" t="str">
        <x:f>IF('Entry Queue'!D40="","",PROPER(TRIM('Entry Queue'!D40)))</x:f>
        <x:v>Granite Grove</x:v>
      </x:c>
      <x:c r="F40" s="77" t="str">
        <x:f>IF('Entry Queue'!E40="","",LOWER(TRIM('Entry Queue'!E40)))</x:f>
        <x:v>mateo.silva1035@granitegrove.test</x:v>
      </x:c>
      <x:c r="G40" s="77" t="str">
        <x:f>TRIM('Entry Queue'!F40)</x:f>
        <x:v>202 555 1035</x:v>
      </x:c>
      <x:c r="H40" s="77" t="str">
        <x:f>IF('Entry Queue'!G40="","",PROPER(TRIM('Entry Queue'!G40)))</x:f>
        <x:v>United States</x:v>
      </x:c>
      <x:c r="I40" s="77" t="str">
        <x:f>IF('Entry Queue'!H40="","",PROPER(TRIM('Entry Queue'!H40)))</x:f>
        <x:v>North</x:v>
      </x:c>
      <x:c r="J40" s="77" t="str">
        <x:f>TRIM('Entry Queue'!I40)</x:f>
        <x:v>Website</x:v>
      </x:c>
      <x:c r="K40" s="77" t="str">
        <x:f>TRIM('Entry Queue'!J40)</x:f>
        <x:v>Small business</x:v>
      </x:c>
      <x:c r="L40" s="77" t="str">
        <x:f>TRIM('Entry Queue'!K40)</x:f>
        <x:v>Inactive</x:v>
      </x:c>
      <x:c r="M40" s="78" t="n">
        <x:f>'Entry Queue'!L40</x:f>
        <x:v>46274</x:v>
      </x:c>
      <x:c r="N40" s="77" t="str">
        <x:f>'Entry Queue'!M40</x:f>
        <x:v>A. Patel</x:v>
      </x:c>
      <x:c r="O40" s="79" t="str">
        <x:f>'QC Checks'!I40</x:f>
        <x:v>Missing required field</x:v>
      </x:c>
    </x:row>
    <x:row r="41" ht="21" customHeight="1">
      <x:c r="A41" s="74" t="str">
        <x:f>'Entry Queue'!A41</x:f>
        <x:v>C-2037</x:v>
      </x:c>
      <x:c r="B41" s="74" t="str">
        <x:f>IF('Entry Queue'!B41="","",PROPER(TRIM('Entry Queue'!B41)))</x:f>
        <x:v>Ruth</x:v>
      </x:c>
      <x:c r="C41" s="74" t="str">
        <x:f>IF('Entry Queue'!C41="","",PROPER(TRIM('Entry Queue'!C41)))</x:f>
        <x:v>Jensen</x:v>
      </x:c>
      <x:c r="D41" s="74" t="str">
        <x:f>IF(OR(B41="",C41=""),"",B41&amp;" "&amp;C41)</x:f>
        <x:v>Ruth Jensen</x:v>
      </x:c>
      <x:c r="E41" s="74" t="str">
        <x:f>IF('Entry Queue'!D41="","",PROPER(TRIM('Entry Queue'!D41)))</x:f>
        <x:v>Blue Current</x:v>
      </x:c>
      <x:c r="F41" s="74" t="str">
        <x:f>IF('Entry Queue'!E41="","",LOWER(TRIM('Entry Queue'!E41)))</x:f>
        <x:v>ruth.jensen1036@bluecurrent.test</x:v>
      </x:c>
      <x:c r="G41" s="74" t="str">
        <x:f>TRIM('Entry Queue'!F41)</x:f>
        <x:v>+1 (202) 555-1036</x:v>
      </x:c>
      <x:c r="H41" s="74" t="str">
        <x:f>IF('Entry Queue'!G41="","",PROPER(TRIM('Entry Queue'!G41)))</x:f>
        <x:v>Australia</x:v>
      </x:c>
      <x:c r="I41" s="74" t="str">
        <x:f>IF('Entry Queue'!H41="","",PROPER(TRIM('Entry Queue'!H41)))</x:f>
        <x:v>Central</x:v>
      </x:c>
      <x:c r="J41" s="74" t="str">
        <x:f>TRIM('Entry Queue'!I41)</x:f>
        <x:v>Referral</x:v>
      </x:c>
      <x:c r="K41" s="74" t="str">
        <x:f>TRIM('Entry Queue'!J41)</x:f>
        <x:v>Nonprofit</x:v>
      </x:c>
      <x:c r="L41" s="74" t="str">
        <x:f>TRIM('Entry Queue'!K41)</x:f>
        <x:v>Active</x:v>
      </x:c>
      <x:c r="M41" s="75" t="n">
        <x:f>'Entry Queue'!L41</x:f>
        <x:v>46032</x:v>
      </x:c>
      <x:c r="N41" s="74" t="str">
        <x:f>'Entry Queue'!M41</x:f>
        <x:v>L. Brooks</x:v>
      </x:c>
      <x:c r="O41" s="76" t="str">
        <x:f>'QC Checks'!I41</x:f>
        <x:v>Ready</x:v>
      </x:c>
    </x:row>
    <x:row r="42" ht="21" customHeight="1">
      <x:c r="A42" s="77" t="str">
        <x:f>'Entry Queue'!A42</x:f>
        <x:v>C-2038</x:v>
      </x:c>
      <x:c r="B42" s="77" t="str">
        <x:f>IF('Entry Queue'!B42="","",PROPER(TRIM('Entry Queue'!B42)))</x:f>
        <x:v>Ethan</x:v>
      </x:c>
      <x:c r="C42" s="77" t="str">
        <x:f>IF('Entry Queue'!C42="","",PROPER(TRIM('Entry Queue'!C42)))</x:f>
        <x:v>Liu</x:v>
      </x:c>
      <x:c r="D42" s="77" t="str">
        <x:f>IF(OR(B42="",C42=""),"",B42&amp;" "&amp;C42)</x:f>
        <x:v>Ethan Liu</x:v>
      </x:c>
      <x:c r="E42" s="77" t="str">
        <x:f>IF('Entry Queue'!D42="","",PROPER(TRIM('Entry Queue'!D42)))</x:f>
        <x:v>Greenline Market</x:v>
      </x:c>
      <x:c r="F42" s="77" t="str">
        <x:f>IF('Entry Queue'!E42="","",LOWER(TRIM('Entry Queue'!E42)))</x:f>
        <x:v>ethan.liu1037@greenlinemarket.test</x:v>
      </x:c>
      <x:c r="G42" s="77" t="str">
        <x:f>TRIM('Entry Queue'!F42)</x:f>
        <x:v>+1-415-555-1037</x:v>
      </x:c>
      <x:c r="H42" s="77" t="str">
        <x:f>IF('Entry Queue'!G42="","",PROPER(TRIM('Entry Queue'!G42)))</x:f>
        <x:v>Canada</x:v>
      </x:c>
      <x:c r="I42" s="77" t="str">
        <x:f>IF('Entry Queue'!H42="","",PROPER(TRIM('Entry Queue'!H42)))</x:f>
        <x:v>International</x:v>
      </x:c>
      <x:c r="J42" s="77" t="str">
        <x:f>TRIM('Entry Queue'!I42)</x:f>
        <x:v>Trade show</x:v>
      </x:c>
      <x:c r="K42" s="77" t="str">
        <x:f>TRIM('Entry Queue'!J42)</x:f>
        <x:v>Mid-market</x:v>
      </x:c>
      <x:c r="L42" s="77" t="str">
        <x:f>TRIM('Entry Queue'!K42)</x:f>
        <x:v>Prospect</x:v>
      </x:c>
      <x:c r="M42" s="78" t="n">
        <x:f>'Entry Queue'!L42</x:f>
        <x:v>46064</x:v>
      </x:c>
      <x:c r="N42" s="77" t="str">
        <x:f>'Entry Queue'!M42</x:f>
        <x:v>R. Shah</x:v>
      </x:c>
      <x:c r="O42" s="79" t="str">
        <x:f>'QC Checks'!I42</x:f>
        <x:v>Ready</x:v>
      </x:c>
    </x:row>
    <x:row r="43" ht="21" customHeight="1">
      <x:c r="A43" s="74" t="str">
        <x:f>'Entry Queue'!A43</x:f>
        <x:v>C-2039</x:v>
      </x:c>
      <x:c r="B43" s="74" t="str">
        <x:f>IF('Entry Queue'!B43="","",PROPER(TRIM('Entry Queue'!B43)))</x:f>
        <x:v>Ava</x:v>
      </x:c>
      <x:c r="C43" s="74" t="str">
        <x:f>IF('Entry Queue'!C43="","",PROPER(TRIM('Entry Queue'!C43)))</x:f>
        <x:v>Roy</x:v>
      </x:c>
      <x:c r="D43" s="74" t="str">
        <x:f>IF(OR(B43="",C43=""),"",B43&amp;" "&amp;C43)</x:f>
        <x:v>Ava Roy</x:v>
      </x:c>
      <x:c r="E43" s="74" t="str">
        <x:f>IF('Entry Queue'!D43="","",PROPER(TRIM('Entry Queue'!D43)))</x:f>
        <x:v>Cloudberry Labs</x:v>
      </x:c>
      <x:c r="F43" s="74" t="str">
        <x:f>IF('Entry Queue'!E43="","",LOWER(TRIM('Entry Queue'!E43)))</x:f>
        <x:v>ava.roy1038@cloudberrylabs.test</x:v>
      </x:c>
      <x:c r="G43" s="74" t="str">
        <x:f>TRIM('Entry Queue'!F43)</x:f>
        <x:v>202 555 1038</x:v>
      </x:c>
      <x:c r="H43" s="74" t="str">
        <x:f>IF('Entry Queue'!G43="","",PROPER(TRIM('Entry Queue'!G43)))</x:f>
        <x:v>India</x:v>
      </x:c>
      <x:c r="I43" s="74" t="str">
        <x:f>IF('Entry Queue'!H43="","",PROPER(TRIM('Entry Queue'!H43)))</x:f>
        <x:v>South</x:v>
      </x:c>
      <x:c r="J43" s="74" t="str">
        <x:f>TRIM('Entry Queue'!I43)</x:f>
        <x:v>Outbound</x:v>
      </x:c>
      <x:c r="K43" s="74" t="str">
        <x:f>TRIM('Entry Queue'!J43)</x:f>
        <x:v>Education</x:v>
      </x:c>
      <x:c r="L43" s="74" t="str">
        <x:f>TRIM('Entry Queue'!K43)</x:f>
        <x:v>Inactive</x:v>
      </x:c>
      <x:c r="M43" s="75" t="n">
        <x:f>'Entry Queue'!L43</x:f>
        <x:v>46093</x:v>
      </x:c>
      <x:c r="N43" s="74" t="str">
        <x:f>'Entry Queue'!M43</x:f>
        <x:v>M. Rivera</x:v>
      </x:c>
      <x:c r="O43" s="76" t="str">
        <x:f>'QC Checks'!I43</x:f>
        <x:v>Ready</x:v>
      </x:c>
    </x:row>
    <x:row r="44" ht="21" customHeight="1">
      <x:c r="A44" s="77" t="str">
        <x:f>'Entry Queue'!A44</x:f>
        <x:v>C-2040</x:v>
      </x:c>
      <x:c r="B44" s="77" t="str">
        <x:f>IF('Entry Queue'!B44="","",PROPER(TRIM('Entry Queue'!B44)))</x:f>
        <x:v>Noah</x:v>
      </x:c>
      <x:c r="C44" s="77" t="str">
        <x:f>IF('Entry Queue'!C44="","",PROPER(TRIM('Entry Queue'!C44)))</x:f>
        <x:v>Park</x:v>
      </x:c>
      <x:c r="D44" s="77" t="str">
        <x:f>IF(OR(B44="",C44=""),"",B44&amp;" "&amp;C44)</x:f>
        <x:v>Noah Park</x:v>
      </x:c>
      <x:c r="E44" s="77" t="str">
        <x:f>IF('Entry Queue'!D44="","",PROPER(TRIM('Entry Queue'!D44)))</x:f>
        <x:v>Cobalt Office</x:v>
      </x:c>
      <x:c r="F44" s="77" t="str">
        <x:f>IF('Entry Queue'!E44="","",LOWER(TRIM('Entry Queue'!E44)))</x:f>
        <x:v>noah.park1039@cobaltoffice.test</x:v>
      </x:c>
      <x:c r="G44" s="77" t="str">
        <x:f>TRIM('Entry Queue'!F44)</x:f>
        <x:v>+1 (202) 555-1039</x:v>
      </x:c>
      <x:c r="H44" s="77" t="str">
        <x:f>IF('Entry Queue'!G44="","",PROPER(TRIM('Entry Queue'!G44)))</x:f>
        <x:v>United Kingdom</x:v>
      </x:c>
      <x:c r="I44" s="77" t="str">
        <x:f>IF('Entry Queue'!H44="","",PROPER(TRIM('Entry Queue'!H44)))</x:f>
        <x:v>West</x:v>
      </x:c>
      <x:c r="J44" s="77" t="str">
        <x:f>TRIM('Entry Queue'!I44)</x:f>
        <x:v>Partner</x:v>
      </x:c>
      <x:c r="K44" s="77" t="str">
        <x:f>TRIM('Entry Queue'!J44)</x:f>
        <x:v>Enterprise</x:v>
      </x:c>
      <x:c r="L44" s="77" t="str">
        <x:f>TRIM('Entry Queue'!K44)</x:f>
        <x:v>Active</x:v>
      </x:c>
      <x:c r="M44" s="78" t="n">
        <x:f>'Entry Queue'!L44</x:f>
        <x:v>46125</x:v>
      </x:c>
      <x:c r="N44" s="77" t="str">
        <x:f>'Entry Queue'!M44</x:f>
        <x:v>K. Evans</x:v>
      </x:c>
      <x:c r="O44" s="79" t="str">
        <x:f>'QC Checks'!I44</x:f>
        <x:v>Ready</x:v>
      </x:c>
    </x:row>
    <x:row r="45" ht="21" customHeight="1">
      <x:c r="A45" s="74" t="str">
        <x:f>'Entry Queue'!A45</x:f>
        <x:v>C-2041</x:v>
      </x:c>
      <x:c r="B45" s="74" t="str">
        <x:f>IF('Entry Queue'!B45="","",PROPER(TRIM('Entry Queue'!B45)))</x:f>
        <x:v>Sofia</x:v>
      </x:c>
      <x:c r="C45" s="74" t="str">
        <x:f>IF('Entry Queue'!C45="","",PROPER(TRIM('Entry Queue'!C45)))</x:f>
        <x:v>Alvarez</x:v>
      </x:c>
      <x:c r="D45" s="74" t="str">
        <x:f>IF(OR(B45="",C45=""),"",B45&amp;" "&amp;C45)</x:f>
        <x:v>Sofia Alvarez</x:v>
      </x:c>
      <x:c r="E45" s="74" t="str">
        <x:f>IF('Entry Queue'!D45="","",PROPER(TRIM('Entry Queue'!D45)))</x:f>
      </x:c>
      <x:c r="F45" s="74" t="str">
        <x:f>IF('Entry Queue'!E45="","",LOWER(TRIM('Entry Queue'!E45)))</x:f>
        <x:v>sofia.alvarez1040@poppylane.test</x:v>
      </x:c>
      <x:c r="G45" s="74" t="str">
        <x:f>TRIM('Entry Queue'!F45)</x:f>
        <x:v>+1-415-555-1040</x:v>
      </x:c>
      <x:c r="H45" s="74" t="str">
        <x:f>IF('Entry Queue'!G45="","",PROPER(TRIM('Entry Queue'!G45)))</x:f>
        <x:v>United States</x:v>
      </x:c>
      <x:c r="I45" s="74" t="str">
        <x:f>IF('Entry Queue'!H45="","",PROPER(TRIM('Entry Queue'!H45)))</x:f>
        <x:v>North</x:v>
      </x:c>
      <x:c r="J45" s="74" t="str">
        <x:f>TRIM('Entry Queue'!I45)</x:f>
        <x:v>Website</x:v>
      </x:c>
      <x:c r="K45" s="74" t="str">
        <x:f>TRIM('Entry Queue'!J45)</x:f>
        <x:v>Small business</x:v>
      </x:c>
      <x:c r="L45" s="74" t="str">
        <x:f>TRIM('Entry Queue'!K45)</x:f>
        <x:v>Prospect</x:v>
      </x:c>
      <x:c r="M45" s="75" t="n">
        <x:f>'Entry Queue'!L45</x:f>
        <x:v>46156</x:v>
      </x:c>
      <x:c r="N45" s="74" t="str">
        <x:f>'Entry Queue'!M45</x:f>
        <x:v>A. Patel</x:v>
      </x:c>
      <x:c r="O45" s="76" t="str">
        <x:f>'QC Checks'!I45</x:f>
        <x:v>Missing required field</x:v>
      </x:c>
    </x:row>
    <x:row r="46" ht="21" customHeight="1">
      <x:c r="A46" s="77" t="str">
        <x:f>'Entry Queue'!A46</x:f>
        <x:v>C-2042</x:v>
      </x:c>
      <x:c r="B46" s="77" t="str">
        <x:f>IF('Entry Queue'!B46="","",PROPER(TRIM('Entry Queue'!B46)))</x:f>
        <x:v>Amir</x:v>
      </x:c>
      <x:c r="C46" s="77" t="str">
        <x:f>IF('Entry Queue'!C46="","",PROPER(TRIM('Entry Queue'!C46)))</x:f>
        <x:v>Wilson</x:v>
      </x:c>
      <x:c r="D46" s="77" t="str">
        <x:f>IF(OR(B46="",C46=""),"",B46&amp;" "&amp;C46)</x:f>
        <x:v>Amir Wilson</x:v>
      </x:c>
      <x:c r="E46" s="77" t="str">
        <x:f>IF('Entry Queue'!D46="","",PROPER(TRIM('Entry Queue'!D46)))</x:f>
        <x:v>Harborline Foods</x:v>
      </x:c>
      <x:c r="F46" s="77" t="str">
        <x:f>IF('Entry Queue'!E46="","",LOWER(TRIM('Entry Queue'!E46)))</x:f>
        <x:v>amir.wilson1041@harborlinefoods.test</x:v>
      </x:c>
      <x:c r="G46" s="77" t="str">
        <x:f>TRIM('Entry Queue'!F46)</x:f>
        <x:v>202 555 1041</x:v>
      </x:c>
      <x:c r="H46" s="77" t="str">
        <x:f>IF('Entry Queue'!G46="","",PROPER(TRIM('Entry Queue'!G46)))</x:f>
        <x:v>Australia</x:v>
      </x:c>
      <x:c r="I46" s="77" t="str">
        <x:f>IF('Entry Queue'!H46="","",PROPER(TRIM('Entry Queue'!H46)))</x:f>
        <x:v>Central</x:v>
      </x:c>
      <x:c r="J46" s="77" t="str">
        <x:f>TRIM('Entry Queue'!I46)</x:f>
        <x:v>Referral</x:v>
      </x:c>
      <x:c r="K46" s="77" t="str">
        <x:f>TRIM('Entry Queue'!J46)</x:f>
        <x:v>Nonprofit</x:v>
      </x:c>
      <x:c r="L46" s="77" t="str">
        <x:f>TRIM('Entry Queue'!K46)</x:f>
        <x:v>Inactive</x:v>
      </x:c>
      <x:c r="M46" s="78" t="n">
        <x:f>'Entry Queue'!L46</x:f>
        <x:v>46188</x:v>
      </x:c>
      <x:c r="N46" s="77" t="str">
        <x:f>'Entry Queue'!M46</x:f>
        <x:v>L. Brooks</x:v>
      </x:c>
      <x:c r="O46" s="79" t="str">
        <x:f>'QC Checks'!I46</x:f>
        <x:v>Ready</x:v>
      </x:c>
    </x:row>
    <x:row r="47" ht="21" customHeight="1">
      <x:c r="A47" s="74" t="str">
        <x:f>'Entry Queue'!A47</x:f>
        <x:v>C-2043</x:v>
      </x:c>
      <x:c r="B47" s="74" t="str">
        <x:f>IF('Entry Queue'!B47="","",PROPER(TRIM('Entry Queue'!B47)))</x:f>
        <x:v>Nora</x:v>
      </x:c>
      <x:c r="C47" s="74" t="str">
        <x:f>IF('Entry Queue'!C47="","",PROPER(TRIM('Entry Queue'!C47)))</x:f>
        <x:v>Green</x:v>
      </x:c>
      <x:c r="D47" s="74" t="str">
        <x:f>IF(OR(B47="",C47=""),"",B47&amp;" "&amp;C47)</x:f>
        <x:v>Nora Green</x:v>
      </x:c>
      <x:c r="E47" s="74" t="str">
        <x:f>IF('Entry Queue'!D47="","",PROPER(TRIM('Entry Queue'!D47)))</x:f>
        <x:v>North Bay Learning</x:v>
      </x:c>
      <x:c r="F47" s="74" t="str">
        <x:f>IF('Entry Queue'!E47="","",LOWER(TRIM('Entry Queue'!E47)))</x:f>
        <x:v>nora.green1042@northbaylearning.test</x:v>
      </x:c>
      <x:c r="G47" s="74" t="str">
        <x:f>TRIM('Entry Queue'!F47)</x:f>
        <x:v>+1 (202) 555-1042</x:v>
      </x:c>
      <x:c r="H47" s="74" t="str">
        <x:f>IF('Entry Queue'!G47="","",PROPER(TRIM('Entry Queue'!G47)))</x:f>
        <x:v>Canada</x:v>
      </x:c>
      <x:c r="I47" s="74" t="str">
        <x:f>IF('Entry Queue'!H47="","",PROPER(TRIM('Entry Queue'!H47)))</x:f>
        <x:v>International</x:v>
      </x:c>
      <x:c r="J47" s="74" t="str">
        <x:f>TRIM('Entry Queue'!I47)</x:f>
        <x:v>Trade show</x:v>
      </x:c>
      <x:c r="K47" s="74" t="str">
        <x:f>TRIM('Entry Queue'!J47)</x:f>
        <x:v>Mid-market</x:v>
      </x:c>
      <x:c r="L47" s="74" t="str">
        <x:f>TRIM('Entry Queue'!K47)</x:f>
        <x:v>Active</x:v>
      </x:c>
      <x:c r="M47" s="75" t="n">
        <x:f>'Entry Queue'!L47</x:f>
        <x:v>46219</x:v>
      </x:c>
      <x:c r="N47" s="74" t="str">
        <x:f>'Entry Queue'!M47</x:f>
        <x:v>R. Shah</x:v>
      </x:c>
      <x:c r="O47" s="76" t="str">
        <x:f>'QC Checks'!I47</x:f>
        <x:v>Ready</x:v>
      </x:c>
    </x:row>
    <x:row r="48" ht="21" customHeight="1">
      <x:c r="A48" s="77" t="str">
        <x:f>'Entry Queue'!A48</x:f>
        <x:v>C-2044</x:v>
      </x:c>
      <x:c r="B48" s="77" t="str">
        <x:f>IF('Entry Queue'!B48="","",PROPER(TRIM('Entry Queue'!B48)))</x:f>
        <x:v>Caleb</x:v>
      </x:c>
      <x:c r="C48" s="77" t="str">
        <x:f>IF('Entry Queue'!C48="","",PROPER(TRIM('Entry Queue'!C48)))</x:f>
        <x:v>Reed</x:v>
      </x:c>
      <x:c r="D48" s="77" t="str">
        <x:f>IF(OR(B48="",C48=""),"",B48&amp;" "&amp;C48)</x:f>
        <x:v>Caleb Reed</x:v>
      </x:c>
      <x:c r="E48" s="77" t="str">
        <x:f>IF('Entry Queue'!D48="","",PROPER(TRIM('Entry Queue'!D48)))</x:f>
        <x:v>Orchard Road</x:v>
      </x:c>
      <x:c r="F48" s="77" t="str">
        <x:f>IF('Entry Queue'!E48="","",LOWER(TRIM('Entry Queue'!E48)))</x:f>
        <x:v>caleb.reed1043@orchardroad.test</x:v>
      </x:c>
      <x:c r="G48" s="77" t="str">
        <x:f>TRIM('Entry Queue'!F48)</x:f>
        <x:v>+1-415-555-1043</x:v>
      </x:c>
      <x:c r="H48" s="77" t="str">
        <x:f>IF('Entry Queue'!G48="","",PROPER(TRIM('Entry Queue'!G48)))</x:f>
        <x:v>India</x:v>
      </x:c>
      <x:c r="I48" s="77" t="str">
        <x:f>IF('Entry Queue'!H48="","",PROPER(TRIM('Entry Queue'!H48)))</x:f>
        <x:v>South</x:v>
      </x:c>
      <x:c r="J48" s="77" t="str">
        <x:f>TRIM('Entry Queue'!I48)</x:f>
        <x:v>Outbound</x:v>
      </x:c>
      <x:c r="K48" s="77" t="str">
        <x:f>TRIM('Entry Queue'!J48)</x:f>
        <x:v>Education</x:v>
      </x:c>
      <x:c r="L48" s="77" t="str">
        <x:f>TRIM('Entry Queue'!K48)</x:f>
        <x:v>Prospect</x:v>
      </x:c>
      <x:c r="M48" s="78" t="n">
        <x:f>'Entry Queue'!L48</x:f>
        <x:v>46251</x:v>
      </x:c>
      <x:c r="N48" s="77" t="str">
        <x:f>'Entry Queue'!M48</x:f>
        <x:v>M. Rivera</x:v>
      </x:c>
      <x:c r="O48" s="79" t="str">
        <x:f>'QC Checks'!I48</x:f>
        <x:v>Ready</x:v>
      </x:c>
    </x:row>
    <x:row r="49" ht="21" customHeight="1">
      <x:c r="A49" s="74" t="str">
        <x:f>'Entry Queue'!A49</x:f>
        <x:v>C-2045</x:v>
      </x:c>
      <x:c r="B49" s="74" t="str">
        <x:f>IF('Entry Queue'!B49="","",PROPER(TRIM('Entry Queue'!B49)))</x:f>
        <x:v>Zara</x:v>
      </x:c>
      <x:c r="C49" s="74" t="str">
        <x:f>IF('Entry Queue'!C49="","",PROPER(TRIM('Entry Queue'!C49)))</x:f>
        <x:v>Thompson</x:v>
      </x:c>
      <x:c r="D49" s="74" t="str">
        <x:f>IF(OR(B49="",C49=""),"",B49&amp;" "&amp;C49)</x:f>
        <x:v>Zara Thompson</x:v>
      </x:c>
      <x:c r="E49" s="74" t="str">
        <x:f>IF('Entry Queue'!D49="","",PROPER(TRIM('Entry Queue'!D49)))</x:f>
        <x:v>Pinecone Studio</x:v>
      </x:c>
      <x:c r="F49" s="74" t="str">
        <x:f>IF('Entry Queue'!E49="","",LOWER(TRIM('Entry Queue'!E49)))</x:f>
        <x:v>zara.thompson1044@pineconestudio.test</x:v>
      </x:c>
      <x:c r="G49" s="74" t="str">
        <x:f>TRIM('Entry Queue'!F49)</x:f>
        <x:v>202 555 1044</x:v>
      </x:c>
      <x:c r="H49" s="74" t="str">
        <x:f>IF('Entry Queue'!G49="","",PROPER(TRIM('Entry Queue'!G49)))</x:f>
        <x:v>United Kingdom</x:v>
      </x:c>
      <x:c r="I49" s="74" t="str">
        <x:f>IF('Entry Queue'!H49="","",PROPER(TRIM('Entry Queue'!H49)))</x:f>
        <x:v>West</x:v>
      </x:c>
      <x:c r="J49" s="74" t="str">
        <x:f>TRIM('Entry Queue'!I49)</x:f>
        <x:v>Partner</x:v>
      </x:c>
      <x:c r="K49" s="74" t="str">
        <x:f>TRIM('Entry Queue'!J49)</x:f>
        <x:v>Enterprise</x:v>
      </x:c>
      <x:c r="L49" s="74" t="str">
        <x:f>TRIM('Entry Queue'!K49)</x:f>
        <x:v>Inactive</x:v>
      </x:c>
      <x:c r="M49" s="75" t="n">
        <x:f>'Entry Queue'!L49</x:f>
        <x:v>46283</x:v>
      </x:c>
      <x:c r="N49" s="74" t="str">
        <x:f>'Entry Queue'!M49</x:f>
        <x:v>K. Evans</x:v>
      </x:c>
      <x:c r="O49" s="76" t="str">
        <x:f>'QC Checks'!I49</x:f>
        <x:v>Ready</x:v>
      </x:c>
    </x:row>
    <x:row r="50" ht="21" customHeight="1">
      <x:c r="A50" s="77" t="str">
        <x:f>'Entry Queue'!A50</x:f>
        <x:v>C-2046</x:v>
      </x:c>
      <x:c r="B50" s="77" t="str">
        <x:f>IF('Entry Queue'!B50="","",PROPER(TRIM('Entry Queue'!B50)))</x:f>
        <x:v>Henry</x:v>
      </x:c>
      <x:c r="C50" s="77" t="str">
        <x:f>IF('Entry Queue'!C50="","",PROPER(TRIM('Entry Queue'!C50)))</x:f>
        <x:v>Adams</x:v>
      </x:c>
      <x:c r="D50" s="77" t="str">
        <x:f>IF(OR(B50="",C50=""),"",B50&amp;" "&amp;C50)</x:f>
        <x:v>Henry Adams</x:v>
      </x:c>
      <x:c r="E50" s="77" t="str">
        <x:f>IF('Entry Queue'!D50="","",PROPER(TRIM('Entry Queue'!D50)))</x:f>
        <x:v>Summit Learning</x:v>
      </x:c>
      <x:c r="F50" s="77" t="str">
        <x:f>IF('Entry Queue'!E50="","",LOWER(TRIM('Entry Queue'!E50)))</x:f>
        <x:v>henry.adams1045@summitlearning.test</x:v>
      </x:c>
      <x:c r="G50" s="77" t="str">
        <x:f>TRIM('Entry Queue'!F50)</x:f>
        <x:v>+1 (202) 555-1045</x:v>
      </x:c>
      <x:c r="H50" s="77" t="str">
        <x:f>IF('Entry Queue'!G50="","",PROPER(TRIM('Entry Queue'!G50)))</x:f>
        <x:v>United States</x:v>
      </x:c>
      <x:c r="I50" s="77" t="str">
        <x:f>IF('Entry Queue'!H50="","",PROPER(TRIM('Entry Queue'!H50)))</x:f>
        <x:v>North</x:v>
      </x:c>
      <x:c r="J50" s="77" t="str">
        <x:f>TRIM('Entry Queue'!I50)</x:f>
        <x:v>Website</x:v>
      </x:c>
      <x:c r="K50" s="77" t="str">
        <x:f>TRIM('Entry Queue'!J50)</x:f>
        <x:v>Small business</x:v>
      </x:c>
      <x:c r="L50" s="77" t="str">
        <x:f>TRIM('Entry Queue'!K50)</x:f>
        <x:v>Active</x:v>
      </x:c>
      <x:c r="M50" s="78" t="n">
        <x:f>'Entry Queue'!L50</x:f>
        <x:v>46041</x:v>
      </x:c>
      <x:c r="N50" s="77" t="str">
        <x:f>'Entry Queue'!M50</x:f>
        <x:v>A. Patel</x:v>
      </x:c>
      <x:c r="O50" s="79" t="str">
        <x:f>'QC Checks'!I50</x:f>
        <x:v>Ready</x:v>
      </x:c>
    </x:row>
    <x:row r="51" ht="21" customHeight="1">
      <x:c r="A51" s="74" t="str">
        <x:f>'Entry Queue'!A51</x:f>
        <x:v>C-2047</x:v>
      </x:c>
      <x:c r="B51" s="74" t="str">
        <x:f>IF('Entry Queue'!B51="","",PROPER(TRIM('Entry Queue'!B51)))</x:f>
        <x:v>Ivy</x:v>
      </x:c>
      <x:c r="C51" s="74" t="str">
        <x:f>IF('Entry Queue'!C51="","",PROPER(TRIM('Entry Queue'!C51)))</x:f>
        <x:v>Martin</x:v>
      </x:c>
      <x:c r="D51" s="74" t="str">
        <x:f>IF(OR(B51="",C51=""),"",B51&amp;" "&amp;C51)</x:f>
        <x:v>Ivy Martin</x:v>
      </x:c>
      <x:c r="E51" s="74" t="str">
        <x:f>IF('Entry Queue'!D51="","",PROPER(TRIM('Entry Queue'!D51)))</x:f>
        <x:v>Lumen Works</x:v>
      </x:c>
      <x:c r="F51" s="74" t="str">
        <x:f>IF('Entry Queue'!E51="","",LOWER(TRIM('Entry Queue'!E51)))</x:f>
        <x:v>ivy.martin1046@lumenworks.test</x:v>
      </x:c>
      <x:c r="G51" s="74" t="str">
        <x:f>TRIM('Entry Queue'!F51)</x:f>
        <x:v>+1-415-555-1046</x:v>
      </x:c>
      <x:c r="H51" s="74" t="str">
        <x:f>IF('Entry Queue'!G51="","",PROPER(TRIM('Entry Queue'!G51)))</x:f>
        <x:v>Australia</x:v>
      </x:c>
      <x:c r="I51" s="74" t="str">
        <x:f>IF('Entry Queue'!H51="","",PROPER(TRIM('Entry Queue'!H51)))</x:f>
        <x:v>Central</x:v>
      </x:c>
      <x:c r="J51" s="74" t="str">
        <x:f>TRIM('Entry Queue'!I51)</x:f>
        <x:v>Referral</x:v>
      </x:c>
      <x:c r="K51" s="74" t="str">
        <x:f>TRIM('Entry Queue'!J51)</x:f>
        <x:v>Nonprofit</x:v>
      </x:c>
      <x:c r="L51" s="74" t="str">
        <x:f>TRIM('Entry Queue'!K51)</x:f>
        <x:v>Prospect</x:v>
      </x:c>
      <x:c r="M51" s="75" t="n">
        <x:f>'Entry Queue'!L51</x:f>
        <x:v>46073</x:v>
      </x:c>
      <x:c r="N51" s="74" t="str">
        <x:f>'Entry Queue'!M51</x:f>
        <x:v>L. Brooks</x:v>
      </x:c>
      <x:c r="O51" s="76" t="str">
        <x:f>'QC Checks'!I51</x:f>
        <x:v>Ready</x:v>
      </x:c>
    </x:row>
    <x:row r="52" ht="21" customHeight="1">
      <x:c r="A52" s="77" t="str">
        <x:f>'Entry Queue'!A52</x:f>
        <x:v>C-2048</x:v>
      </x:c>
      <x:c r="B52" s="77" t="str">
        <x:f>IF('Entry Queue'!B52="","",PROPER(TRIM('Entry Queue'!B52)))</x:f>
        <x:v>Lucas</x:v>
      </x:c>
      <x:c r="C52" s="77" t="str">
        <x:f>IF('Entry Queue'!C52="","",PROPER(TRIM('Entry Queue'!C52)))</x:f>
        <x:v>Diaz</x:v>
      </x:c>
      <x:c r="D52" s="77" t="str">
        <x:f>IF(OR(B52="",C52=""),"",B52&amp;" "&amp;C52)</x:f>
        <x:v>Lucas Diaz</x:v>
      </x:c>
      <x:c r="E52" s="77" t="str">
        <x:f>IF('Entry Queue'!D52="","",PROPER(TRIM('Entry Queue'!D52)))</x:f>
        <x:v>Red Kite Market</x:v>
      </x:c>
      <x:c r="F52" s="77" t="str">
        <x:f>IF('Entry Queue'!E52="","",LOWER(TRIM('Entry Queue'!E52)))</x:f>
        <x:v>lucas.diaz1047@redkitemarket.test</x:v>
      </x:c>
      <x:c r="G52" s="77" t="str">
        <x:f>TRIM('Entry Queue'!F52)</x:f>
        <x:v>202 555 1047</x:v>
      </x:c>
      <x:c r="H52" s="77" t="str">
        <x:f>IF('Entry Queue'!G52="","",PROPER(TRIM('Entry Queue'!G52)))</x:f>
        <x:v>Canada</x:v>
      </x:c>
      <x:c r="I52" s="77" t="str">
        <x:f>IF('Entry Queue'!H52="","",PROPER(TRIM('Entry Queue'!H52)))</x:f>
        <x:v>International</x:v>
      </x:c>
      <x:c r="J52" s="77" t="str">
        <x:f>TRIM('Entry Queue'!I52)</x:f>
        <x:v>Trade show</x:v>
      </x:c>
      <x:c r="K52" s="77" t="str">
        <x:f>TRIM('Entry Queue'!J52)</x:f>
        <x:v>Mid-market</x:v>
      </x:c>
      <x:c r="L52" s="77" t="str">
        <x:f>TRIM('Entry Queue'!K52)</x:f>
        <x:v>Inactive</x:v>
      </x:c>
      <x:c r="M52" s="78" t="n">
        <x:f>'Entry Queue'!L52</x:f>
        <x:v>46102</x:v>
      </x:c>
      <x:c r="N52" s="77" t="str">
        <x:f>'Entry Queue'!M52</x:f>
        <x:v>R. Shah</x:v>
      </x:c>
      <x:c r="O52" s="79" t="str">
        <x:f>'QC Checks'!I52</x:f>
        <x:v>Ready</x:v>
      </x:c>
    </x:row>
    <x:row r="53" ht="21" customHeight="1">
      <x:c r="A53" s="74" t="str">
        <x:f>'Entry Queue'!A53</x:f>
        <x:v>C-2049</x:v>
      </x:c>
      <x:c r="B53" s="74" t="str">
        <x:f>IF('Entry Queue'!B53="","",PROPER(TRIM('Entry Queue'!B53)))</x:f>
        <x:v>Emma</x:v>
      </x:c>
      <x:c r="C53" s="74" t="str">
        <x:f>IF('Entry Queue'!C53="","",PROPER(TRIM('Entry Queue'!C53)))</x:f>
        <x:v>Okafor</x:v>
      </x:c>
      <x:c r="D53" s="74" t="str">
        <x:f>IF(OR(B53="",C53=""),"",B53&amp;" "&amp;C53)</x:f>
        <x:v>Emma Okafor</x:v>
      </x:c>
      <x:c r="E53" s="74" t="str">
        <x:f>IF('Entry Queue'!D53="","",PROPER(TRIM('Entry Queue'!D53)))</x:f>
        <x:v>Moss &amp; Morrow</x:v>
      </x:c>
      <x:c r="F53" s="74" t="str">
        <x:f>IF('Entry Queue'!E53="","",LOWER(TRIM('Entry Queue'!E53)))</x:f>
        <x:v>emma.okafor1048@mossmorrow.test</x:v>
      </x:c>
      <x:c r="G53" s="74" t="str">
        <x:f>TRIM('Entry Queue'!F53)</x:f>
        <x:v>+1 (202) 555-1048</x:v>
      </x:c>
      <x:c r="H53" s="74" t="str">
        <x:f>IF('Entry Queue'!G53="","",PROPER(TRIM('Entry Queue'!G53)))</x:f>
        <x:v>India</x:v>
      </x:c>
      <x:c r="I53" s="74" t="str">
        <x:f>IF('Entry Queue'!H53="","",PROPER(TRIM('Entry Queue'!H53)))</x:f>
        <x:v>South</x:v>
      </x:c>
      <x:c r="J53" s="74" t="str">
        <x:f>TRIM('Entry Queue'!I53)</x:f>
        <x:v>Outbound</x:v>
      </x:c>
      <x:c r="K53" s="74" t="str">
        <x:f>TRIM('Entry Queue'!J53)</x:f>
        <x:v>Education</x:v>
      </x:c>
      <x:c r="L53" s="74" t="str">
        <x:f>TRIM('Entry Queue'!K53)</x:f>
        <x:v>Active</x:v>
      </x:c>
      <x:c r="M53" s="75" t="n">
        <x:f>'Entry Queue'!L53</x:f>
        <x:v>46134</x:v>
      </x:c>
      <x:c r="N53" s="74" t="str">
        <x:f>'Entry Queue'!M53</x:f>
        <x:v>M. Rivera</x:v>
      </x:c>
      <x:c r="O53" s="76" t="str">
        <x:f>'QC Checks'!I53</x:f>
        <x:v>Ready</x:v>
      </x:c>
    </x:row>
    <x:row r="54" ht="21" customHeight="1">
      <x:c r="A54" s="77" t="str">
        <x:f>'Entry Queue'!A54</x:f>
        <x:v>C-2050</x:v>
      </x:c>
      <x:c r="B54" s="77" t="str">
        <x:f>IF('Entry Queue'!B54="","",PROPER(TRIM('Entry Queue'!B54)))</x:f>
        <x:v>Arjun</x:v>
      </x:c>
      <x:c r="C54" s="77" t="str">
        <x:f>IF('Entry Queue'!C54="","",PROPER(TRIM('Entry Queue'!C54)))</x:f>
        <x:v>Wright</x:v>
      </x:c>
      <x:c r="D54" s="77" t="str">
        <x:f>IF(OR(B54="",C54=""),"",B54&amp;" "&amp;C54)</x:f>
        <x:v>Arjun Wright</x:v>
      </x:c>
      <x:c r="E54" s="77" t="str">
        <x:f>IF('Entry Queue'!D54="","",PROPER(TRIM('Entry Queue'!D54)))</x:f>
        <x:v>Bridgewell Services</x:v>
      </x:c>
      <x:c r="F54" s="77" t="str">
        <x:f>IF('Entry Queue'!E54="","",LOWER(TRIM('Entry Queue'!E54)))</x:f>
        <x:v>arjun.wright1049@bridgewellservices.test</x:v>
      </x:c>
      <x:c r="G54" s="77" t="str">
        <x:f>TRIM('Entry Queue'!F54)</x:f>
        <x:v>+1-415-555-1049</x:v>
      </x:c>
      <x:c r="H54" s="77" t="str">
        <x:f>IF('Entry Queue'!G54="","",PROPER(TRIM('Entry Queue'!G54)))</x:f>
        <x:v>United Kingdom</x:v>
      </x:c>
      <x:c r="I54" s="77" t="str">
        <x:f>IF('Entry Queue'!H54="","",PROPER(TRIM('Entry Queue'!H54)))</x:f>
        <x:v>West</x:v>
      </x:c>
      <x:c r="J54" s="77" t="str">
        <x:f>TRIM('Entry Queue'!I54)</x:f>
        <x:v>Partner</x:v>
      </x:c>
      <x:c r="K54" s="77" t="str">
        <x:f>TRIM('Entry Queue'!J54)</x:f>
        <x:v>Enterprise</x:v>
      </x:c>
      <x:c r="L54" s="77" t="str">
        <x:f>TRIM('Entry Queue'!K54)</x:f>
        <x:v>Prospect</x:v>
      </x:c>
      <x:c r="M54" s="78" t="n">
        <x:f>'Entry Queue'!L54</x:f>
        <x:v>46165</x:v>
      </x:c>
      <x:c r="N54" s="77" t="str">
        <x:f>'Entry Queue'!M54</x:f>
        <x:v>K. Evans</x:v>
      </x:c>
      <x:c r="O54" s="79" t="str">
        <x:f>'QC Checks'!I54</x:f>
        <x:v>Ready</x:v>
      </x:c>
    </x:row>
    <x:row r="55" ht="21" customHeight="1">
      <x:c r="A55" s="74" t="str">
        <x:f>'Entry Queue'!A55</x:f>
        <x:v>C-2051</x:v>
      </x:c>
      <x:c r="B55" s="74" t="str">
        <x:f>IF('Entry Queue'!B55="","",PROPER(TRIM('Entry Queue'!B55)))</x:f>
        <x:v>Grace</x:v>
      </x:c>
      <x:c r="C55" s="74" t="str">
        <x:f>IF('Entry Queue'!C55="","",PROPER(TRIM('Entry Queue'!C55)))</x:f>
        <x:v>Fox</x:v>
      </x:c>
      <x:c r="D55" s="74" t="str">
        <x:f>IF(OR(B55="",C55=""),"",B55&amp;" "&amp;C55)</x:f>
        <x:v>Grace Fox</x:v>
      </x:c>
      <x:c r="E55" s="74" t="str">
        <x:f>IF('Entry Queue'!D55="","",PROPER(TRIM('Entry Queue'!D55)))</x:f>
        <x:v>Atlas Paper</x:v>
      </x:c>
      <x:c r="F55" s="74" t="str">
        <x:f>IF('Entry Queue'!E55="","",LOWER(TRIM('Entry Queue'!E55)))</x:f>
        <x:v>grace.fox1050@atlaspaper.test</x:v>
      </x:c>
      <x:c r="G55" s="74" t="str">
        <x:f>TRIM('Entry Queue'!F55)</x:f>
      </x:c>
      <x:c r="H55" s="74" t="str">
        <x:f>IF('Entry Queue'!G55="","",PROPER(TRIM('Entry Queue'!G55)))</x:f>
        <x:v>United States</x:v>
      </x:c>
      <x:c r="I55" s="74" t="str">
        <x:f>IF('Entry Queue'!H55="","",PROPER(TRIM('Entry Queue'!H55)))</x:f>
        <x:v>North</x:v>
      </x:c>
      <x:c r="J55" s="74" t="str">
        <x:f>TRIM('Entry Queue'!I55)</x:f>
        <x:v>Website</x:v>
      </x:c>
      <x:c r="K55" s="74" t="str">
        <x:f>TRIM('Entry Queue'!J55)</x:f>
        <x:v>Small business</x:v>
      </x:c>
      <x:c r="L55" s="74" t="str">
        <x:f>TRIM('Entry Queue'!K55)</x:f>
        <x:v>Inactive</x:v>
      </x:c>
      <x:c r="M55" s="75" t="n">
        <x:f>'Entry Queue'!L55</x:f>
        <x:v>46197</x:v>
      </x:c>
      <x:c r="N55" s="74" t="str">
        <x:f>'Entry Queue'!M55</x:f>
        <x:v>A. Patel</x:v>
      </x:c>
      <x:c r="O55" s="76" t="str">
        <x:f>'QC Checks'!I55</x:f>
        <x:v>Missing required field</x:v>
      </x:c>
    </x:row>
    <x:row r="56" ht="21" customHeight="1">
      <x:c r="A56" s="77" t="str">
        <x:f>'Entry Queue'!A56</x:f>
        <x:v>C-2052</x:v>
      </x:c>
      <x:c r="B56" s="77" t="str">
        <x:f>IF('Entry Queue'!B56="","",PROPER(TRIM('Entry Queue'!B56)))</x:f>
        <x:v>Daniel</x:v>
      </x:c>
      <x:c r="C56" s="77" t="str">
        <x:f>IF('Entry Queue'!C56="","",PROPER(TRIM('Entry Queue'!C56)))</x:f>
        <x:v>Patel</x:v>
      </x:c>
      <x:c r="D56" s="77" t="str">
        <x:f>IF(OR(B56="",C56=""),"",B56&amp;" "&amp;C56)</x:f>
        <x:v>Daniel Patel</x:v>
      </x:c>
      <x:c r="E56" s="77" t="str">
        <x:f>IF('Entry Queue'!D56="","",PROPER(TRIM('Entry Queue'!D56)))</x:f>
        <x:v>Evergreen Kitchen</x:v>
      </x:c>
      <x:c r="F56" s="77" t="str">
        <x:f>IF('Entry Queue'!E56="","",LOWER(TRIM('Entry Queue'!E56)))</x:f>
        <x:v>daniel.patel1051@evergreenkitchen.test</x:v>
      </x:c>
      <x:c r="G56" s="77" t="str">
        <x:f>TRIM('Entry Queue'!F56)</x:f>
        <x:v>+1 (202) 555-1051</x:v>
      </x:c>
      <x:c r="H56" s="77" t="str">
        <x:f>IF('Entry Queue'!G56="","",PROPER(TRIM('Entry Queue'!G56)))</x:f>
        <x:v>Australia</x:v>
      </x:c>
      <x:c r="I56" s="77" t="str">
        <x:f>IF('Entry Queue'!H56="","",PROPER(TRIM('Entry Queue'!H56)))</x:f>
        <x:v>Central</x:v>
      </x:c>
      <x:c r="J56" s="77" t="str">
        <x:f>TRIM('Entry Queue'!I56)</x:f>
        <x:v>Referral</x:v>
      </x:c>
      <x:c r="K56" s="77" t="str">
        <x:f>TRIM('Entry Queue'!J56)</x:f>
        <x:v>Nonprofit</x:v>
      </x:c>
      <x:c r="L56" s="77" t="str">
        <x:f>TRIM('Entry Queue'!K56)</x:f>
        <x:v>Active</x:v>
      </x:c>
      <x:c r="M56" s="78" t="n">
        <x:f>'Entry Queue'!L56</x:f>
        <x:v>46228</x:v>
      </x:c>
      <x:c r="N56" s="77" t="str">
        <x:f>'Entry Queue'!M56</x:f>
        <x:v>L. Brooks</x:v>
      </x:c>
      <x:c r="O56" s="79" t="str">
        <x:f>'QC Checks'!I56</x:f>
        <x:v>Ready</x:v>
      </x:c>
    </x:row>
    <x:row r="57" ht="21" customHeight="1">
      <x:c r="A57" s="74" t="str">
        <x:f>'Entry Queue'!A57</x:f>
        <x:v>C-2053</x:v>
      </x:c>
      <x:c r="B57" s="74" t="str">
        <x:f>IF('Entry Queue'!B57="","",PROPER(TRIM('Entry Queue'!B57)))</x:f>
        <x:v>Freya</x:v>
      </x:c>
      <x:c r="C57" s="74" t="str">
        <x:f>IF('Entry Queue'!C57="","",PROPER(TRIM('Entry Queue'!C57)))</x:f>
        <x:v>Haddad</x:v>
      </x:c>
      <x:c r="D57" s="74" t="str">
        <x:f>IF(OR(B57="",C57=""),"",B57&amp;" "&amp;C57)</x:f>
        <x:v>Freya Haddad</x:v>
      </x:c>
      <x:c r="E57" s="74" t="str">
        <x:f>IF('Entry Queue'!D57="","",PROPER(TRIM('Entry Queue'!D57)))</x:f>
        <x:v>Cedar &amp; Finch</x:v>
      </x:c>
      <x:c r="F57" s="74" t="str">
        <x:f>IF('Entry Queue'!E57="","",LOWER(TRIM('Entry Queue'!E57)))</x:f>
        <x:v>freya.haddad1052@cedarfinch.test</x:v>
      </x:c>
      <x:c r="G57" s="74" t="str">
        <x:f>TRIM('Entry Queue'!F57)</x:f>
        <x:v>+1-415-555-1052</x:v>
      </x:c>
      <x:c r="H57" s="74" t="str">
        <x:f>IF('Entry Queue'!G57="","",PROPER(TRIM('Entry Queue'!G57)))</x:f>
        <x:v>Canada</x:v>
      </x:c>
      <x:c r="I57" s="74" t="str">
        <x:f>IF('Entry Queue'!H57="","",PROPER(TRIM('Entry Queue'!H57)))</x:f>
        <x:v>International</x:v>
      </x:c>
      <x:c r="J57" s="74" t="str">
        <x:f>TRIM('Entry Queue'!I57)</x:f>
        <x:v>Trade show</x:v>
      </x:c>
      <x:c r="K57" s="74" t="str">
        <x:f>TRIM('Entry Queue'!J57)</x:f>
        <x:v>Mid-market</x:v>
      </x:c>
      <x:c r="L57" s="74" t="str">
        <x:f>TRIM('Entry Queue'!K57)</x:f>
        <x:v>Prospect</x:v>
      </x:c>
      <x:c r="M57" s="75" t="n">
        <x:f>'Entry Queue'!L57</x:f>
        <x:v>46260</x:v>
      </x:c>
      <x:c r="N57" s="74" t="str">
        <x:f>'Entry Queue'!M57</x:f>
        <x:v>R. Shah</x:v>
      </x:c>
      <x:c r="O57" s="76" t="str">
        <x:f>'QC Checks'!I57</x:f>
        <x:v>Ready</x:v>
      </x:c>
    </x:row>
    <x:row r="58" ht="21" customHeight="1">
      <x:c r="A58" s="77" t="str">
        <x:f>'Entry Queue'!A58</x:f>
        <x:v>C-2054</x:v>
      </x:c>
      <x:c r="B58" s="77" t="str">
        <x:f>IF('Entry Queue'!B58="","",PROPER(TRIM('Entry Queue'!B58)))</x:f>
        <x:v>Theo</x:v>
      </x:c>
      <x:c r="C58" s="77" t="str">
        <x:f>IF('Entry Queue'!C58="","",PROPER(TRIM('Entry Queue'!C58)))</x:f>
        <x:v>Khan</x:v>
      </x:c>
      <x:c r="D58" s="77" t="str">
        <x:f>IF(OR(B58="",C58=""),"",B58&amp;" "&amp;C58)</x:f>
        <x:v>Theo Khan</x:v>
      </x:c>
      <x:c r="E58" s="77" t="str">
        <x:f>IF('Entry Queue'!D58="","",PROPER(TRIM('Entry Queue'!D58)))</x:f>
        <x:v>Fieldstone Home</x:v>
      </x:c>
      <x:c r="F58" s="77" t="str">
        <x:f>IF('Entry Queue'!E58="","",LOWER(TRIM('Entry Queue'!E58)))</x:f>
        <x:v>theo.khan1053@fieldstonehome.test</x:v>
      </x:c>
      <x:c r="G58" s="77" t="str">
        <x:f>TRIM('Entry Queue'!F58)</x:f>
        <x:v>202 555 1053</x:v>
      </x:c>
      <x:c r="H58" s="77" t="str">
        <x:f>IF('Entry Queue'!G58="","",PROPER(TRIM('Entry Queue'!G58)))</x:f>
        <x:v>India</x:v>
      </x:c>
      <x:c r="I58" s="77" t="str">
        <x:f>IF('Entry Queue'!H58="","",PROPER(TRIM('Entry Queue'!H58)))</x:f>
        <x:v>South</x:v>
      </x:c>
      <x:c r="J58" s="77" t="str">
        <x:f>TRIM('Entry Queue'!I58)</x:f>
        <x:v>Outbound</x:v>
      </x:c>
      <x:c r="K58" s="77" t="str">
        <x:f>TRIM('Entry Queue'!J58)</x:f>
        <x:v>Education</x:v>
      </x:c>
      <x:c r="L58" s="77" t="str">
        <x:f>TRIM('Entry Queue'!K58)</x:f>
        <x:v>Inactive</x:v>
      </x:c>
      <x:c r="M58" s="78" t="n">
        <x:f>'Entry Queue'!L58</x:f>
        <x:v>46292</x:v>
      </x:c>
      <x:c r="N58" s="77" t="str">
        <x:f>'Entry Queue'!M58</x:f>
        <x:v>M. Rivera</x:v>
      </x:c>
      <x:c r="O58" s="79" t="str">
        <x:f>'QC Checks'!I58</x:f>
        <x:v>Ready</x:v>
      </x:c>
    </x:row>
    <x:row r="59" ht="21" customHeight="1">
      <x:c r="A59" s="74" t="str">
        <x:f>'Entry Queue'!A59</x:f>
        <x:v>C-2055</x:v>
      </x:c>
      <x:c r="B59" s="74" t="str">
        <x:f>IF('Entry Queue'!B59="","",PROPER(TRIM('Entry Queue'!B59)))</x:f>
        <x:v>Anika</x:v>
      </x:c>
      <x:c r="C59" s="74" t="str">
        <x:f>IF('Entry Queue'!C59="","",PROPER(TRIM('Entry Queue'!C59)))</x:f>
        <x:v>Mehta</x:v>
      </x:c>
      <x:c r="D59" s="74" t="str">
        <x:f>IF(OR(B59="",C59=""),"",B59&amp;" "&amp;C59)</x:f>
        <x:v>Anika Mehta</x:v>
      </x:c>
      <x:c r="E59" s="74" t="str">
        <x:f>IF('Entry Queue'!D59="","",PROPER(TRIM('Entry Queue'!D59)))</x:f>
        <x:v>Maple Row</x:v>
      </x:c>
      <x:c r="F59" s="74" t="str">
        <x:f>IF('Entry Queue'!E59="","",LOWER(TRIM('Entry Queue'!E59)))</x:f>
        <x:v>anika.mehta1054@maplerow.test</x:v>
      </x:c>
      <x:c r="G59" s="74" t="str">
        <x:f>TRIM('Entry Queue'!F59)</x:f>
        <x:v>+1 (202) 555-1054</x:v>
      </x:c>
      <x:c r="H59" s="74" t="str">
        <x:f>IF('Entry Queue'!G59="","",PROPER(TRIM('Entry Queue'!G59)))</x:f>
        <x:v>United Kingdom</x:v>
      </x:c>
      <x:c r="I59" s="74" t="str">
        <x:f>IF('Entry Queue'!H59="","",PROPER(TRIM('Entry Queue'!H59)))</x:f>
        <x:v>West</x:v>
      </x:c>
      <x:c r="J59" s="74" t="str">
        <x:f>TRIM('Entry Queue'!I59)</x:f>
        <x:v>Partner</x:v>
      </x:c>
      <x:c r="K59" s="74" t="str">
        <x:f>TRIM('Entry Queue'!J59)</x:f>
        <x:v>Enterprise</x:v>
      </x:c>
      <x:c r="L59" s="74" t="str">
        <x:f>TRIM('Entry Queue'!K59)</x:f>
        <x:v>Active</x:v>
      </x:c>
      <x:c r="M59" s="75" t="n">
        <x:f>'Entry Queue'!L59</x:f>
        <x:v>46023</x:v>
      </x:c>
      <x:c r="N59" s="74" t="str">
        <x:f>'Entry Queue'!M59</x:f>
        <x:v>K. Evans</x:v>
      </x:c>
      <x:c r="O59" s="76" t="str">
        <x:f>'QC Checks'!I59</x:f>
        <x:v>Ready</x:v>
      </x:c>
    </x:row>
    <x:row r="60" ht="21" customHeight="1">
      <x:c r="A60" s="77" t="str">
        <x:f>'Entry Queue'!A60</x:f>
        <x:v>C-2056</x:v>
      </x:c>
      <x:c r="B60" s="77" t="str">
        <x:f>IF('Entry Queue'!B60="","",PROPER(TRIM('Entry Queue'!B60)))</x:f>
        <x:v>Miles</x:v>
      </x:c>
      <x:c r="C60" s="77" t="str">
        <x:f>IF('Entry Queue'!C60="","",PROPER(TRIM('Entry Queue'!C60)))</x:f>
        <x:v>Bennett</x:v>
      </x:c>
      <x:c r="D60" s="77" t="str">
        <x:f>IF(OR(B60="",C60=""),"",B60&amp;" "&amp;C60)</x:f>
        <x:v>Miles Bennett</x:v>
      </x:c>
      <x:c r="E60" s="77" t="str">
        <x:f>IF('Entry Queue'!D60="","",PROPER(TRIM('Entry Queue'!D60)))</x:f>
        <x:v>Silver Birch Co</x:v>
      </x:c>
      <x:c r="F60" s="77" t="str">
        <x:f>IF('Entry Queue'!E60="","",LOWER(TRIM('Entry Queue'!E60)))</x:f>
        <x:v>miles.bennett1055@silverbirchco.test</x:v>
      </x:c>
      <x:c r="G60" s="77" t="str">
        <x:f>TRIM('Entry Queue'!F60)</x:f>
        <x:v>+1-415-555-1055</x:v>
      </x:c>
      <x:c r="H60" s="77" t="str">
        <x:f>IF('Entry Queue'!G60="","",PROPER(TRIM('Entry Queue'!G60)))</x:f>
        <x:v>United States</x:v>
      </x:c>
      <x:c r="I60" s="77" t="str">
        <x:f>IF('Entry Queue'!H60="","",PROPER(TRIM('Entry Queue'!H60)))</x:f>
        <x:v>North</x:v>
      </x:c>
      <x:c r="J60" s="77" t="str">
        <x:f>TRIM('Entry Queue'!I60)</x:f>
        <x:v>Website</x:v>
      </x:c>
      <x:c r="K60" s="77" t="str">
        <x:f>TRIM('Entry Queue'!J60)</x:f>
        <x:v>Small business</x:v>
      </x:c>
      <x:c r="L60" s="77" t="str">
        <x:f>TRIM('Entry Queue'!K60)</x:f>
        <x:v>Prospect</x:v>
      </x:c>
      <x:c r="M60" s="78" t="n">
        <x:f>'Entry Queue'!L60</x:f>
        <x:v>46055</x:v>
      </x:c>
      <x:c r="N60" s="77" t="str">
        <x:f>'Entry Queue'!M60</x:f>
        <x:v>A. Patel</x:v>
      </x:c>
      <x:c r="O60" s="79" t="str">
        <x:f>'QC Checks'!I60</x:f>
        <x:v>Ready</x:v>
      </x:c>
    </x:row>
    <x:row r="61" ht="21" customHeight="1">
      <x:c r="A61" s="74" t="str">
        <x:f>'Entry Queue'!A61</x:f>
        <x:v>C-2057</x:v>
      </x:c>
      <x:c r="B61" s="74" t="str">
        <x:f>IF('Entry Queue'!B61="","",PROPER(TRIM('Entry Queue'!B61)))</x:f>
        <x:v>Talia</x:v>
      </x:c>
      <x:c r="C61" s="74" t="str">
        <x:f>IF('Entry Queue'!C61="","",PROPER(TRIM('Entry Queue'!C61)))</x:f>
        <x:v>Nair</x:v>
      </x:c>
      <x:c r="D61" s="74" t="str">
        <x:f>IF(OR(B61="",C61=""),"",B61&amp;" "&amp;C61)</x:f>
        <x:v>Talia Nair</x:v>
      </x:c>
      <x:c r="E61" s="74" t="str">
        <x:f>IF('Entry Queue'!D61="","",PROPER(TRIM('Entry Queue'!D61)))</x:f>
        <x:v>East Bay Books</x:v>
      </x:c>
      <x:c r="F61" s="74" t="str">
        <x:f>IF('Entry Queue'!E61="","",LOWER(TRIM('Entry Queue'!E61)))</x:f>
        <x:v>talia.nair1056@eastbaybooks.test</x:v>
      </x:c>
      <x:c r="G61" s="74" t="str">
        <x:f>TRIM('Entry Queue'!F61)</x:f>
        <x:v>202 555 1056</x:v>
      </x:c>
      <x:c r="H61" s="74" t="str">
        <x:f>IF('Entry Queue'!G61="","",PROPER(TRIM('Entry Queue'!G61)))</x:f>
        <x:v>Australia</x:v>
      </x:c>
      <x:c r="I61" s="74" t="str">
        <x:f>IF('Entry Queue'!H61="","",PROPER(TRIM('Entry Queue'!H61)))</x:f>
        <x:v>Central</x:v>
      </x:c>
      <x:c r="J61" s="74" t="str">
        <x:f>TRIM('Entry Queue'!I61)</x:f>
        <x:v>Referral</x:v>
      </x:c>
      <x:c r="K61" s="74" t="str">
        <x:f>TRIM('Entry Queue'!J61)</x:f>
        <x:v>Nonprofit</x:v>
      </x:c>
      <x:c r="L61" s="74" t="str">
        <x:f>TRIM('Entry Queue'!K61)</x:f>
        <x:v>Inactive</x:v>
      </x:c>
      <x:c r="M61" s="75" t="n">
        <x:f>'Entry Queue'!L61</x:f>
        <x:v>46084</x:v>
      </x:c>
      <x:c r="N61" s="74" t="str">
        <x:f>'Entry Queue'!M61</x:f>
        <x:v>L. Brooks</x:v>
      </x:c>
      <x:c r="O61" s="76" t="str">
        <x:f>'QC Checks'!I61</x:f>
        <x:v>Ready</x:v>
      </x:c>
    </x:row>
    <x:row r="62" ht="21" customHeight="1">
      <x:c r="A62" s="77" t="str">
        <x:f>'Entry Queue'!A62</x:f>
        <x:v>C-2058</x:v>
      </x:c>
      <x:c r="B62" s="77" t="str">
        <x:f>IF('Entry Queue'!B62="","",PROPER(TRIM('Entry Queue'!B62)))</x:f>
        <x:v>Ravi</x:v>
      </x:c>
      <x:c r="C62" s="77" t="str">
        <x:f>IF('Entry Queue'!C62="","",PROPER(TRIM('Entry Queue'!C62)))</x:f>
        <x:v>Kim</x:v>
      </x:c>
      <x:c r="D62" s="77" t="str">
        <x:f>IF(OR(B62="",C62=""),"",B62&amp;" "&amp;C62)</x:f>
        <x:v>Ravi Kim</x:v>
      </x:c>
      <x:c r="E62" s="77" t="str">
        <x:f>IF('Entry Queue'!D62="","",PROPER(TRIM('Entry Queue'!D62)))</x:f>
        <x:v>Tandem Outfitters</x:v>
      </x:c>
      <x:c r="F62" s="77" t="str">
        <x:f>IF('Entry Queue'!E62="","",LOWER(TRIM('Entry Queue'!E62)))</x:f>
        <x:v>ravi.kim1057@tandemoutfitters.test</x:v>
      </x:c>
      <x:c r="G62" s="77" t="str">
        <x:f>TRIM('Entry Queue'!F62)</x:f>
        <x:v>+1 (202) 555-1057</x:v>
      </x:c>
      <x:c r="H62" s="77" t="str">
        <x:f>IF('Entry Queue'!G62="","",PROPER(TRIM('Entry Queue'!G62)))</x:f>
        <x:v>Canada</x:v>
      </x:c>
      <x:c r="I62" s="77" t="str">
        <x:f>IF('Entry Queue'!H62="","",PROPER(TRIM('Entry Queue'!H62)))</x:f>
        <x:v>International</x:v>
      </x:c>
      <x:c r="J62" s="77" t="str">
        <x:f>TRIM('Entry Queue'!I62)</x:f>
        <x:v>Social Media</x:v>
      </x:c>
      <x:c r="K62" s="77" t="str">
        <x:f>TRIM('Entry Queue'!J62)</x:f>
        <x:v>Mid-market</x:v>
      </x:c>
      <x:c r="L62" s="77" t="str">
        <x:f>TRIM('Entry Queue'!K62)</x:f>
        <x:v>Active</x:v>
      </x:c>
      <x:c r="M62" s="78" t="n">
        <x:f>'Entry Queue'!L62</x:f>
        <x:v>46116</x:v>
      </x:c>
      <x:c r="N62" s="77" t="str">
        <x:f>'Entry Queue'!M62</x:f>
        <x:v>R. Shah</x:v>
      </x:c>
      <x:c r="O62" s="79" t="str">
        <x:f>'QC Checks'!I62</x:f>
        <x:v>Check lead source</x:v>
      </x:c>
    </x:row>
    <x:row r="63" ht="21" customHeight="1">
      <x:c r="A63" s="74" t="str">
        <x:f>'Entry Queue'!A63</x:f>
        <x:v>C-2059</x:v>
      </x:c>
      <x:c r="B63" s="74" t="str">
        <x:f>IF('Entry Queue'!B63="","",PROPER(TRIM('Entry Queue'!B63)))</x:f>
        <x:v>Elena</x:v>
      </x:c>
      <x:c r="C63" s="74" t="str">
        <x:f>IF('Entry Queue'!C63="","",PROPER(TRIM('Entry Queue'!C63)))</x:f>
        <x:v>Brown</x:v>
      </x:c>
      <x:c r="D63" s="74" t="str">
        <x:f>IF(OR(B63="",C63=""),"",B63&amp;" "&amp;C63)</x:f>
        <x:v>Elena Brown</x:v>
      </x:c>
      <x:c r="E63" s="74" t="str">
        <x:f>IF('Entry Queue'!D63="","",PROPER(TRIM('Entry Queue'!D63)))</x:f>
        <x:v>Willow &amp; West</x:v>
      </x:c>
      <x:c r="F63" s="74" t="str">
        <x:f>IF('Entry Queue'!E63="","",LOWER(TRIM('Entry Queue'!E63)))</x:f>
        <x:v>elena.brown1058@willowwest.test</x:v>
      </x:c>
      <x:c r="G63" s="74" t="str">
        <x:f>TRIM('Entry Queue'!F63)</x:f>
        <x:v>+1-415-555-1058</x:v>
      </x:c>
      <x:c r="H63" s="74" t="str">
        <x:f>IF('Entry Queue'!G63="","",PROPER(TRIM('Entry Queue'!G63)))</x:f>
        <x:v>India</x:v>
      </x:c>
      <x:c r="I63" s="74" t="str">
        <x:f>IF('Entry Queue'!H63="","",PROPER(TRIM('Entry Queue'!H63)))</x:f>
        <x:v>South</x:v>
      </x:c>
      <x:c r="J63" s="74" t="str">
        <x:f>TRIM('Entry Queue'!I63)</x:f>
        <x:v>Outbound</x:v>
      </x:c>
      <x:c r="K63" s="74" t="str">
        <x:f>TRIM('Entry Queue'!J63)</x:f>
        <x:v>Education</x:v>
      </x:c>
      <x:c r="L63" s="74" t="str">
        <x:f>TRIM('Entry Queue'!K63)</x:f>
        <x:v>Prospect</x:v>
      </x:c>
      <x:c r="M63" s="75" t="n">
        <x:f>'Entry Queue'!L63</x:f>
        <x:v>46147</x:v>
      </x:c>
      <x:c r="N63" s="74" t="str">
        <x:f>'Entry Queue'!M63</x:f>
        <x:v>M. Rivera</x:v>
      </x:c>
      <x:c r="O63" s="76" t="str">
        <x:f>'QC Checks'!I63</x:f>
        <x:v>Ready</x:v>
      </x:c>
    </x:row>
    <x:row r="64" ht="21" customHeight="1">
      <x:c r="A64" s="77" t="str">
        <x:f>'Entry Queue'!A64</x:f>
        <x:v>C-2060</x:v>
      </x:c>
      <x:c r="B64" s="77" t="str">
        <x:f>IF('Entry Queue'!B64="","",PROPER(TRIM('Entry Queue'!B64)))</x:f>
        <x:v>Sam</x:v>
      </x:c>
      <x:c r="C64" s="77" t="str">
        <x:f>IF('Entry Queue'!C64="","",PROPER(TRIM('Entry Queue'!C64)))</x:f>
        <x:v>Shah</x:v>
      </x:c>
      <x:c r="D64" s="77" t="str">
        <x:f>IF(OR(B64="",C64=""),"",B64&amp;" "&amp;C64)</x:f>
        <x:v>Sam Shah</x:v>
      </x:c>
      <x:c r="E64" s="77" t="str">
        <x:f>IF('Entry Queue'!D64="","",PROPER(TRIM('Entry Queue'!D64)))</x:f>
        <x:v>Solstice Supply</x:v>
      </x:c>
      <x:c r="F64" s="77" t="str">
        <x:f>IF('Entry Queue'!E64="","",LOWER(TRIM('Entry Queue'!E64)))</x:f>
        <x:v>sam.shah1059@solsticesupply.test</x:v>
      </x:c>
      <x:c r="G64" s="77" t="str">
        <x:f>TRIM('Entry Queue'!F64)</x:f>
        <x:v>202 555 1059</x:v>
      </x:c>
      <x:c r="H64" s="77" t="str">
        <x:f>IF('Entry Queue'!G64="","",PROPER(TRIM('Entry Queue'!G64)))</x:f>
        <x:v>United Kingdom</x:v>
      </x:c>
      <x:c r="I64" s="77" t="str">
        <x:f>IF('Entry Queue'!H64="","",PROPER(TRIM('Entry Queue'!H64)))</x:f>
        <x:v>West</x:v>
      </x:c>
      <x:c r="J64" s="77" t="str">
        <x:f>TRIM('Entry Queue'!I64)</x:f>
        <x:v>Partner</x:v>
      </x:c>
      <x:c r="K64" s="77" t="str">
        <x:f>TRIM('Entry Queue'!J64)</x:f>
        <x:v>Enterprise</x:v>
      </x:c>
      <x:c r="L64" s="77" t="str">
        <x:f>TRIM('Entry Queue'!K64)</x:f>
        <x:v>Inactive</x:v>
      </x:c>
      <x:c r="M64" s="78" t="n">
        <x:f>'Entry Queue'!L64</x:f>
        <x:v>46179</x:v>
      </x:c>
      <x:c r="N64" s="77" t="str">
        <x:f>'Entry Queue'!M64</x:f>
        <x:v>K. Evans</x:v>
      </x:c>
      <x:c r="O64" s="79" t="str">
        <x:f>'QC Checks'!I64</x:f>
        <x:v>Ready</x:v>
      </x:c>
    </x:row>
    <x:row r="65" ht="21" customHeight="1">
      <x:c r="A65" s="74" t="str">
        <x:f>'Entry Queue'!A65</x:f>
        <x:v>C-2061</x:v>
      </x:c>
      <x:c r="B65" s="74" t="str">
        <x:f>IF('Entry Queue'!B65="","",PROPER(TRIM('Entry Queue'!B65)))</x:f>
        <x:v>Maya</x:v>
      </x:c>
      <x:c r="C65" s="74" t="str">
        <x:f>IF('Entry Queue'!C65="","",PROPER(TRIM('Entry Queue'!C65)))</x:f>
        <x:v>Chen</x:v>
      </x:c>
      <x:c r="D65" s="74" t="str">
        <x:f>IF(OR(B65="",C65=""),"",B65&amp;" "&amp;C65)</x:f>
        <x:v>Maya Chen</x:v>
      </x:c>
      <x:c r="E65" s="74" t="str">
        <x:f>IF('Entry Queue'!D65="","",PROPER(TRIM('Entry Queue'!D65)))</x:f>
        <x:v>Northstar Supply</x:v>
      </x:c>
      <x:c r="F65" s="74" t="str">
        <x:f>IF('Entry Queue'!E65="","",LOWER(TRIM('Entry Queue'!E65)))</x:f>
        <x:v>maya.chen1060@northstarsupply.test</x:v>
      </x:c>
      <x:c r="G65" s="74" t="str">
        <x:f>TRIM('Entry Queue'!F65)</x:f>
        <x:v>+1 (202) 555-1060</x:v>
      </x:c>
      <x:c r="H65" s="74" t="str">
        <x:f>IF('Entry Queue'!G65="","",PROPER(TRIM('Entry Queue'!G65)))</x:f>
        <x:v>United States</x:v>
      </x:c>
      <x:c r="I65" s="74" t="str">
        <x:f>IF('Entry Queue'!H65="","",PROPER(TRIM('Entry Queue'!H65)))</x:f>
        <x:v>North</x:v>
      </x:c>
      <x:c r="J65" s="74" t="str">
        <x:f>TRIM('Entry Queue'!I65)</x:f>
        <x:v>Website</x:v>
      </x:c>
      <x:c r="K65" s="74" t="str">
        <x:f>TRIM('Entry Queue'!J65)</x:f>
        <x:v>Small business</x:v>
      </x:c>
      <x:c r="L65" s="74" t="str">
        <x:f>TRIM('Entry Queue'!K65)</x:f>
        <x:v>Active</x:v>
      </x:c>
      <x:c r="M65" s="75" t="n">
        <x:f>'Entry Queue'!L65</x:f>
        <x:v>46210</x:v>
      </x:c>
      <x:c r="N65" s="74" t="str">
        <x:f>'Entry Queue'!M65</x:f>
        <x:v>A. Patel</x:v>
      </x:c>
      <x:c r="O65" s="76" t="str">
        <x:f>'QC Checks'!I65</x:f>
        <x:v>Ready</x:v>
      </x:c>
    </x:row>
    <x:row r="66" ht="21" customHeight="1">
      <x:c r="A66" s="77" t="str">
        <x:f>'Entry Queue'!A66</x:f>
        <x:v>C-2062</x:v>
      </x:c>
      <x:c r="B66" s="77" t="str">
        <x:f>IF('Entry Queue'!B66="","",PROPER(TRIM('Entry Queue'!B66)))</x:f>
        <x:v>Jonah</x:v>
      </x:c>
      <x:c r="C66" s="77" t="str">
        <x:f>IF('Entry Queue'!C66="","",PROPER(TRIM('Entry Queue'!C66)))</x:f>
        <x:v>Cole</x:v>
      </x:c>
      <x:c r="D66" s="77" t="str">
        <x:f>IF(OR(B66="",C66=""),"",B66&amp;" "&amp;C66)</x:f>
        <x:v>Jonah Cole</x:v>
      </x:c>
      <x:c r="E66" s="77" t="str">
        <x:f>IF('Entry Queue'!D66="","",PROPER(TRIM('Entry Queue'!D66)))</x:f>
        <x:v>Meridian Goods</x:v>
      </x:c>
      <x:c r="F66" s="77" t="str">
        <x:f>IF('Entry Queue'!E66="","",LOWER(TRIM('Entry Queue'!E66)))</x:f>
        <x:v>jonah.cole1061@meridiangoods.test</x:v>
      </x:c>
      <x:c r="G66" s="77" t="str">
        <x:f>TRIM('Entry Queue'!F66)</x:f>
        <x:v>+1-415-555-1061</x:v>
      </x:c>
      <x:c r="H66" s="77" t="str">
        <x:f>IF('Entry Queue'!G66="","",PROPER(TRIM('Entry Queue'!G66)))</x:f>
        <x:v>Australia</x:v>
      </x:c>
      <x:c r="I66" s="77" t="str">
        <x:f>IF('Entry Queue'!H66="","",PROPER(TRIM('Entry Queue'!H66)))</x:f>
        <x:v>Central</x:v>
      </x:c>
      <x:c r="J66" s="77" t="str">
        <x:f>TRIM('Entry Queue'!I66)</x:f>
        <x:v>Referral</x:v>
      </x:c>
      <x:c r="K66" s="77" t="str">
        <x:f>TRIM('Entry Queue'!J66)</x:f>
        <x:v>Startup</x:v>
      </x:c>
      <x:c r="L66" s="77" t="str">
        <x:f>TRIM('Entry Queue'!K66)</x:f>
        <x:v>Prospect</x:v>
      </x:c>
      <x:c r="M66" s="78" t="n">
        <x:f>'Entry Queue'!L66</x:f>
        <x:v>46242</x:v>
      </x:c>
      <x:c r="N66" s="77" t="str">
        <x:f>'Entry Queue'!M66</x:f>
        <x:v>L. Brooks</x:v>
      </x:c>
      <x:c r="O66" s="79" t="str">
        <x:f>'QC Checks'!I66</x:f>
        <x:v>Check segment</x:v>
      </x:c>
    </x:row>
    <x:row r="67" ht="21" customHeight="1">
      <x:c r="A67" s="74" t="str">
        <x:f>'Entry Queue'!A67</x:f>
        <x:v>C-2063</x:v>
      </x:c>
      <x:c r="B67" s="74" t="str">
        <x:f>IF('Entry Queue'!B67="","",PROPER(TRIM('Entry Queue'!B67)))</x:f>
        <x:v>Priya</x:v>
      </x:c>
      <x:c r="C67" s="74" t="str">
        <x:f>IF('Entry Queue'!C67="","",PROPER(TRIM('Entry Queue'!C67)))</x:f>
        <x:v>Mahmood</x:v>
      </x:c>
      <x:c r="D67" s="74" t="str">
        <x:f>IF(OR(B67="",C67=""),"",B67&amp;" "&amp;C67)</x:f>
        <x:v>Priya Mahmood</x:v>
      </x:c>
      <x:c r="E67" s="74" t="str">
        <x:f>IF('Entry Queue'!D67="","",PROPER(TRIM('Entry Queue'!D67)))</x:f>
        <x:v>Sunbeam Stationery</x:v>
      </x:c>
      <x:c r="F67" s="74" t="str">
        <x:f>IF('Entry Queue'!E67="","",LOWER(TRIM('Entry Queue'!E67)))</x:f>
        <x:v>priya.mahmood1062@sunbeamstationery.test</x:v>
      </x:c>
      <x:c r="G67" s="74" t="str">
        <x:f>TRIM('Entry Queue'!F67)</x:f>
        <x:v>202 555 1062</x:v>
      </x:c>
      <x:c r="H67" s="74" t="str">
        <x:f>IF('Entry Queue'!G67="","",PROPER(TRIM('Entry Queue'!G67)))</x:f>
        <x:v>Canada</x:v>
      </x:c>
      <x:c r="I67" s="74" t="str">
        <x:f>IF('Entry Queue'!H67="","",PROPER(TRIM('Entry Queue'!H67)))</x:f>
        <x:v>International</x:v>
      </x:c>
      <x:c r="J67" s="74" t="str">
        <x:f>TRIM('Entry Queue'!I67)</x:f>
        <x:v>Trade show</x:v>
      </x:c>
      <x:c r="K67" s="74" t="str">
        <x:f>TRIM('Entry Queue'!J67)</x:f>
        <x:v>Mid-market</x:v>
      </x:c>
      <x:c r="L67" s="74" t="str">
        <x:f>TRIM('Entry Queue'!K67)</x:f>
        <x:v>Inactive</x:v>
      </x:c>
      <x:c r="M67" s="75" t="n">
        <x:f>'Entry Queue'!L67</x:f>
        <x:v>46274</x:v>
      </x:c>
      <x:c r="N67" s="74" t="str">
        <x:f>'Entry Queue'!M67</x:f>
        <x:v>R. Shah</x:v>
      </x:c>
      <x:c r="O67" s="76" t="str">
        <x:f>'QC Checks'!I67</x:f>
        <x:v>Ready</x:v>
      </x:c>
    </x:row>
    <x:row r="68" ht="21" customHeight="1">
      <x:c r="A68" s="77" t="str">
        <x:f>'Entry Queue'!A68</x:f>
        <x:v>C-2064</x:v>
      </x:c>
      <x:c r="B68" s="77" t="str">
        <x:f>IF('Entry Queue'!B68="","",PROPER(TRIM('Entry Queue'!B68)))</x:f>
        <x:v>Owen</x:v>
      </x:c>
      <x:c r="C68" s="77" t="str">
        <x:f>IF('Entry Queue'!C68="","",PROPER(TRIM('Entry Queue'!C68)))</x:f>
        <x:v>Olsen</x:v>
      </x:c>
      <x:c r="D68" s="77" t="str">
        <x:f>IF(OR(B68="",C68=""),"",B68&amp;" "&amp;C68)</x:f>
        <x:v>Owen Olsen</x:v>
      </x:c>
      <x:c r="E68" s="77" t="str">
        <x:f>IF('Entry Queue'!D68="","",PROPER(TRIM('Entry Queue'!D68)))</x:f>
        <x:v>Juniper Retail</x:v>
      </x:c>
      <x:c r="F68" s="77" t="str">
        <x:f>IF('Entry Queue'!E68="","",LOWER(TRIM('Entry Queue'!E68)))</x:f>
        <x:v>owen.olsen1063@juniperretail.test</x:v>
      </x:c>
      <x:c r="G68" s="77" t="str">
        <x:f>TRIM('Entry Queue'!F68)</x:f>
        <x:v>+1 (202) 555-1063</x:v>
      </x:c>
      <x:c r="H68" s="77" t="str">
        <x:f>IF('Entry Queue'!G68="","",PROPER(TRIM('Entry Queue'!G68)))</x:f>
        <x:v>India</x:v>
      </x:c>
      <x:c r="I68" s="77" t="str">
        <x:f>IF('Entry Queue'!H68="","",PROPER(TRIM('Entry Queue'!H68)))</x:f>
        <x:v>South</x:v>
      </x:c>
      <x:c r="J68" s="77" t="str">
        <x:f>TRIM('Entry Queue'!I68)</x:f>
        <x:v>Outbound</x:v>
      </x:c>
      <x:c r="K68" s="77" t="str">
        <x:f>TRIM('Entry Queue'!J68)</x:f>
        <x:v>Education</x:v>
      </x:c>
      <x:c r="L68" s="77" t="str">
        <x:f>TRIM('Entry Queue'!K68)</x:f>
        <x:v>Active</x:v>
      </x:c>
      <x:c r="M68" s="78" t="n">
        <x:f>'Entry Queue'!L68</x:f>
        <x:v>46032</x:v>
      </x:c>
      <x:c r="N68" s="77" t="str">
        <x:f>'Entry Queue'!M68</x:f>
        <x:v>M. Rivera</x:v>
      </x:c>
      <x:c r="O68" s="79" t="str">
        <x:f>'QC Checks'!I68</x:f>
        <x:v>Ready</x:v>
      </x:c>
    </x:row>
    <x:row r="69" ht="21" customHeight="1">
      <x:c r="A69" s="74" t="str">
        <x:f>'Entry Queue'!A69</x:f>
        <x:v>C-2065</x:v>
      </x:c>
      <x:c r="B69" s="74" t="str">
        <x:f>IF('Entry Queue'!B69="","",PROPER(TRIM('Entry Queue'!B69)))</x:f>
        <x:v>Leila</x:v>
      </x:c>
      <x:c r="C69" s="74" t="str">
        <x:f>IF('Entry Queue'!C69="","",PROPER(TRIM('Entry Queue'!C69)))</x:f>
        <x:v>Clark</x:v>
      </x:c>
      <x:c r="D69" s="74" t="str">
        <x:f>IF(OR(B69="",C69=""),"",B69&amp;" "&amp;C69)</x:f>
        <x:v>Leila Clark</x:v>
      </x:c>
      <x:c r="E69" s="74" t="str">
        <x:f>IF('Entry Queue'!D69="","",PROPER(TRIM('Entry Queue'!D69)))</x:f>
        <x:v>Brightwell Design</x:v>
      </x:c>
      <x:c r="F69" s="74" t="str">
        <x:f>IF('Entry Queue'!E69="","",LOWER(TRIM('Entry Queue'!E69)))</x:f>
        <x:v>leila.clark1064@brightwelldesign.test</x:v>
      </x:c>
      <x:c r="G69" s="74" t="str">
        <x:f>TRIM('Entry Queue'!F69)</x:f>
        <x:v>+1-415-555-1064</x:v>
      </x:c>
      <x:c r="H69" s="74" t="str">
        <x:f>IF('Entry Queue'!G69="","",PROPER(TRIM('Entry Queue'!G69)))</x:f>
        <x:v>United Kingdom</x:v>
      </x:c>
      <x:c r="I69" s="74" t="str">
        <x:f>IF('Entry Queue'!H69="","",PROPER(TRIM('Entry Queue'!H69)))</x:f>
        <x:v>West</x:v>
      </x:c>
      <x:c r="J69" s="74" t="str">
        <x:f>TRIM('Entry Queue'!I69)</x:f>
        <x:v>Partner</x:v>
      </x:c>
      <x:c r="K69" s="74" t="str">
        <x:f>TRIM('Entry Queue'!J69)</x:f>
        <x:v>Enterprise</x:v>
      </x:c>
      <x:c r="L69" s="74" t="str">
        <x:f>TRIM('Entry Queue'!K69)</x:f>
        <x:v>Prospect</x:v>
      </x:c>
      <x:c r="M69" s="75" t="n">
        <x:f>'Entry Queue'!L69</x:f>
        <x:v>46064</x:v>
      </x:c>
      <x:c r="N69" s="74" t="str">
        <x:f>'Entry Queue'!M69</x:f>
        <x:v>K. Evans</x:v>
      </x:c>
      <x:c r="O69" s="76" t="str">
        <x:f>'QC Checks'!I69</x:f>
        <x:v>Ready</x:v>
      </x:c>
    </x:row>
    <x:row r="70" ht="21" customHeight="1">
      <x:c r="A70" s="77" t="str">
        <x:f>'Entry Queue'!A70</x:f>
        <x:v>C-2066</x:v>
      </x:c>
      <x:c r="B70" s="77" t="str">
        <x:f>IF('Entry Queue'!B70="","",PROPER(TRIM('Entry Queue'!B70)))</x:f>
        <x:v>Mateo</x:v>
      </x:c>
      <x:c r="C70" s="77" t="str">
        <x:f>IF('Entry Queue'!C70="","",PROPER(TRIM('Entry Queue'!C70)))</x:f>
        <x:v>Silva</x:v>
      </x:c>
      <x:c r="D70" s="77" t="str">
        <x:f>IF(OR(B70="",C70=""),"",B70&amp;" "&amp;C70)</x:f>
        <x:v>Mateo Silva</x:v>
      </x:c>
      <x:c r="E70" s="77" t="str">
        <x:f>IF('Entry Queue'!D70="","",PROPER(TRIM('Entry Queue'!D70)))</x:f>
        <x:v>Granite Grove</x:v>
      </x:c>
      <x:c r="F70" s="77" t="str">
        <x:f>IF('Entry Queue'!E70="","",LOWER(TRIM('Entry Queue'!E70)))</x:f>
        <x:v>mateo.silva1065@granitegrove.test</x:v>
      </x:c>
      <x:c r="G70" s="77" t="str">
        <x:f>TRIM('Entry Queue'!F70)</x:f>
        <x:v>202 555 1065</x:v>
      </x:c>
      <x:c r="H70" s="77" t="str">
        <x:f>IF('Entry Queue'!G70="","",PROPER(TRIM('Entry Queue'!G70)))</x:f>
        <x:v>United States</x:v>
      </x:c>
      <x:c r="I70" s="77" t="str">
        <x:f>IF('Entry Queue'!H70="","",PROPER(TRIM('Entry Queue'!H70)))</x:f>
        <x:v>North</x:v>
      </x:c>
      <x:c r="J70" s="77" t="str">
        <x:f>TRIM('Entry Queue'!I70)</x:f>
        <x:v>Website</x:v>
      </x:c>
      <x:c r="K70" s="77" t="str">
        <x:f>TRIM('Entry Queue'!J70)</x:f>
        <x:v>Small business</x:v>
      </x:c>
      <x:c r="L70" s="77" t="str">
        <x:f>TRIM('Entry Queue'!K70)</x:f>
        <x:v>Inactive</x:v>
      </x:c>
      <x:c r="M70" s="78" t="n">
        <x:f>'Entry Queue'!L70</x:f>
        <x:v>46093</x:v>
      </x:c>
      <x:c r="N70" s="77" t="str">
        <x:f>'Entry Queue'!M70</x:f>
        <x:v>A. Patel</x:v>
      </x:c>
      <x:c r="O70" s="79" t="str">
        <x:f>'QC Checks'!I70</x:f>
        <x:v>Ready</x:v>
      </x:c>
    </x:row>
    <x:row r="71" ht="21" customHeight="1">
      <x:c r="A71" s="74" t="str">
        <x:f>'Entry Queue'!A71</x:f>
        <x:v>C-2067</x:v>
      </x:c>
      <x:c r="B71" s="74" t="str">
        <x:f>IF('Entry Queue'!B71="","",PROPER(TRIM('Entry Queue'!B71)))</x:f>
        <x:v>Ruth</x:v>
      </x:c>
      <x:c r="C71" s="74" t="str">
        <x:f>IF('Entry Queue'!C71="","",PROPER(TRIM('Entry Queue'!C71)))</x:f>
        <x:v>Jensen</x:v>
      </x:c>
      <x:c r="D71" s="74" t="str">
        <x:f>IF(OR(B71="",C71=""),"",B71&amp;" "&amp;C71)</x:f>
        <x:v>Ruth Jensen</x:v>
      </x:c>
      <x:c r="E71" s="74" t="str">
        <x:f>IF('Entry Queue'!D71="","",PROPER(TRIM('Entry Queue'!D71)))</x:f>
        <x:v>Blue Current</x:v>
      </x:c>
      <x:c r="F71" s="74" t="str">
        <x:f>IF('Entry Queue'!E71="","",LOWER(TRIM('Entry Queue'!E71)))</x:f>
        <x:v>ruth.jensen1066@bluecurrent.test</x:v>
      </x:c>
      <x:c r="G71" s="74" t="str">
        <x:f>TRIM('Entry Queue'!F71)</x:f>
        <x:v>+1 (202) 555-1066</x:v>
      </x:c>
      <x:c r="H71" s="74" t="str">
        <x:f>IF('Entry Queue'!G71="","",PROPER(TRIM('Entry Queue'!G71)))</x:f>
        <x:v>Australia</x:v>
      </x:c>
      <x:c r="I71" s="74" t="str">
        <x:f>IF('Entry Queue'!H71="","",PROPER(TRIM('Entry Queue'!H71)))</x:f>
        <x:v>Central</x:v>
      </x:c>
      <x:c r="J71" s="74" t="str">
        <x:f>TRIM('Entry Queue'!I71)</x:f>
        <x:v>Referral</x:v>
      </x:c>
      <x:c r="K71" s="74" t="str">
        <x:f>TRIM('Entry Queue'!J71)</x:f>
        <x:v>Nonprofit</x:v>
      </x:c>
      <x:c r="L71" s="74" t="str">
        <x:f>TRIM('Entry Queue'!K71)</x:f>
        <x:v>Active</x:v>
      </x:c>
      <x:c r="M71" s="75" t="n">
        <x:f>'Entry Queue'!L71</x:f>
        <x:v>46125</x:v>
      </x:c>
      <x:c r="N71" s="74" t="str">
        <x:f>'Entry Queue'!M71</x:f>
        <x:v>L. Brooks</x:v>
      </x:c>
      <x:c r="O71" s="76" t="str">
        <x:f>'QC Checks'!I71</x:f>
        <x:v>Ready</x:v>
      </x:c>
    </x:row>
    <x:row r="72" ht="21" customHeight="1">
      <x:c r="A72" s="77" t="str">
        <x:f>'Entry Queue'!A72</x:f>
        <x:v>C-2068</x:v>
      </x:c>
      <x:c r="B72" s="77" t="str">
        <x:f>IF('Entry Queue'!B72="","",PROPER(TRIM('Entry Queue'!B72)))</x:f>
        <x:v>Ethan</x:v>
      </x:c>
      <x:c r="C72" s="77" t="str">
        <x:f>IF('Entry Queue'!C72="","",PROPER(TRIM('Entry Queue'!C72)))</x:f>
        <x:v>Liu</x:v>
      </x:c>
      <x:c r="D72" s="77" t="str">
        <x:f>IF(OR(B72="",C72=""),"",B72&amp;" "&amp;C72)</x:f>
        <x:v>Ethan Liu</x:v>
      </x:c>
      <x:c r="E72" s="77" t="str">
        <x:f>IF('Entry Queue'!D72="","",PROPER(TRIM('Entry Queue'!D72)))</x:f>
        <x:v>Greenline Market</x:v>
      </x:c>
      <x:c r="F72" s="77" t="str">
        <x:f>IF('Entry Queue'!E72="","",LOWER(TRIM('Entry Queue'!E72)))</x:f>
        <x:v>ethan.liu1067@greenlinemarket.test</x:v>
      </x:c>
      <x:c r="G72" s="77" t="str">
        <x:f>TRIM('Entry Queue'!F72)</x:f>
        <x:v>+1-415-555-1067</x:v>
      </x:c>
      <x:c r="H72" s="77" t="str">
        <x:f>IF('Entry Queue'!G72="","",PROPER(TRIM('Entry Queue'!G72)))</x:f>
        <x:v>Canada</x:v>
      </x:c>
      <x:c r="I72" s="77" t="str">
        <x:f>IF('Entry Queue'!H72="","",PROPER(TRIM('Entry Queue'!H72)))</x:f>
        <x:v>International</x:v>
      </x:c>
      <x:c r="J72" s="77" t="str">
        <x:f>TRIM('Entry Queue'!I72)</x:f>
        <x:v>Trade show</x:v>
      </x:c>
      <x:c r="K72" s="77" t="str">
        <x:f>TRIM('Entry Queue'!J72)</x:f>
        <x:v>Mid-market</x:v>
      </x:c>
      <x:c r="L72" s="77" t="str">
        <x:f>TRIM('Entry Queue'!K72)</x:f>
        <x:v>Prospect</x:v>
      </x:c>
      <x:c r="M72" s="78" t="n">
        <x:f>'Entry Queue'!L72</x:f>
        <x:v>46156</x:v>
      </x:c>
      <x:c r="N72" s="77" t="str">
        <x:f>'Entry Queue'!M72</x:f>
        <x:v>R. Shah</x:v>
      </x:c>
      <x:c r="O72" s="79" t="str">
        <x:f>'QC Checks'!I72</x:f>
        <x:v>Ready</x:v>
      </x:c>
    </x:row>
    <x:row r="73" ht="21" customHeight="1">
      <x:c r="A73" s="74" t="str">
        <x:f>'Entry Queue'!A73</x:f>
        <x:v>C-2069</x:v>
      </x:c>
      <x:c r="B73" s="74" t="str">
        <x:f>IF('Entry Queue'!B73="","",PROPER(TRIM('Entry Queue'!B73)))</x:f>
        <x:v>Ava</x:v>
      </x:c>
      <x:c r="C73" s="74" t="str">
        <x:f>IF('Entry Queue'!C73="","",PROPER(TRIM('Entry Queue'!C73)))</x:f>
        <x:v>Roy</x:v>
      </x:c>
      <x:c r="D73" s="74" t="str">
        <x:f>IF(OR(B73="",C73=""),"",B73&amp;" "&amp;C73)</x:f>
        <x:v>Ava Roy</x:v>
      </x:c>
      <x:c r="E73" s="74" t="str">
        <x:f>IF('Entry Queue'!D73="","",PROPER(TRIM('Entry Queue'!D73)))</x:f>
        <x:v>Cloudberry Labs</x:v>
      </x:c>
      <x:c r="F73" s="74" t="str">
        <x:f>IF('Entry Queue'!E73="","",LOWER(TRIM('Entry Queue'!E73)))</x:f>
        <x:v>ava.roy1068@cloudberrylabs.test</x:v>
      </x:c>
      <x:c r="G73" s="74" t="str">
        <x:f>TRIM('Entry Queue'!F73)</x:f>
        <x:v>202 555 1068</x:v>
      </x:c>
      <x:c r="H73" s="74" t="str">
        <x:f>IF('Entry Queue'!G73="","",PROPER(TRIM('Entry Queue'!G73)))</x:f>
        <x:v>India</x:v>
      </x:c>
      <x:c r="I73" s="74" t="str">
        <x:f>IF('Entry Queue'!H73="","",PROPER(TRIM('Entry Queue'!H73)))</x:f>
        <x:v>South</x:v>
      </x:c>
      <x:c r="J73" s="74" t="str">
        <x:f>TRIM('Entry Queue'!I73)</x:f>
        <x:v>Outbound</x:v>
      </x:c>
      <x:c r="K73" s="74" t="str">
        <x:f>TRIM('Entry Queue'!J73)</x:f>
        <x:v>Education</x:v>
      </x:c>
      <x:c r="L73" s="74" t="str">
        <x:f>TRIM('Entry Queue'!K73)</x:f>
        <x:v>Inactive</x:v>
      </x:c>
      <x:c r="M73" s="75" t="n">
        <x:f>'Entry Queue'!L73</x:f>
        <x:v>46188</x:v>
      </x:c>
      <x:c r="N73" s="74" t="str">
        <x:f>'Entry Queue'!M73</x:f>
        <x:v>M. Rivera</x:v>
      </x:c>
      <x:c r="O73" s="76" t="str">
        <x:f>'QC Checks'!I73</x:f>
        <x:v>Ready</x:v>
      </x:c>
    </x:row>
    <x:row r="74" ht="21" customHeight="1">
      <x:c r="A74" s="77" t="str">
        <x:f>'Entry Queue'!A74</x:f>
        <x:v>C-2070</x:v>
      </x:c>
      <x:c r="B74" s="77" t="str">
        <x:f>IF('Entry Queue'!B74="","",PROPER(TRIM('Entry Queue'!B74)))</x:f>
        <x:v>Noah</x:v>
      </x:c>
      <x:c r="C74" s="77" t="str">
        <x:f>IF('Entry Queue'!C74="","",PROPER(TRIM('Entry Queue'!C74)))</x:f>
        <x:v>Park</x:v>
      </x:c>
      <x:c r="D74" s="77" t="str">
        <x:f>IF(OR(B74="",C74=""),"",B74&amp;" "&amp;C74)</x:f>
        <x:v>Noah Park</x:v>
      </x:c>
      <x:c r="E74" s="77" t="str">
        <x:f>IF('Entry Queue'!D74="","",PROPER(TRIM('Entry Queue'!D74)))</x:f>
        <x:v>Cobalt Office</x:v>
      </x:c>
      <x:c r="F74" s="77" t="str">
        <x:f>IF('Entry Queue'!E74="","",LOWER(TRIM('Entry Queue'!E74)))</x:f>
        <x:v>noah.park1069@cobaltoffice.test</x:v>
      </x:c>
      <x:c r="G74" s="77" t="str">
        <x:f>TRIM('Entry Queue'!F74)</x:f>
        <x:v>+1 (202) 555-1069</x:v>
      </x:c>
      <x:c r="H74" s="77" t="str">
        <x:f>IF('Entry Queue'!G74="","",PROPER(TRIM('Entry Queue'!G74)))</x:f>
        <x:v>United Kingdom</x:v>
      </x:c>
      <x:c r="I74" s="77" t="str">
        <x:f>IF('Entry Queue'!H74="","",PROPER(TRIM('Entry Queue'!H74)))</x:f>
        <x:v>West</x:v>
      </x:c>
      <x:c r="J74" s="77" t="str">
        <x:f>TRIM('Entry Queue'!I74)</x:f>
        <x:v>Partner</x:v>
      </x:c>
      <x:c r="K74" s="77" t="str">
        <x:f>TRIM('Entry Queue'!J74)</x:f>
        <x:v>Enterprise</x:v>
      </x:c>
      <x:c r="L74" s="77" t="str">
        <x:f>TRIM('Entry Queue'!K74)</x:f>
        <x:v>Archived</x:v>
      </x:c>
      <x:c r="M74" s="78" t="n">
        <x:f>'Entry Queue'!L74</x:f>
        <x:v>46219</x:v>
      </x:c>
      <x:c r="N74" s="77" t="str">
        <x:f>'Entry Queue'!M74</x:f>
        <x:v>K. Evans</x:v>
      </x:c>
      <x:c r="O74" s="79" t="str">
        <x:f>'QC Checks'!I74</x:f>
        <x:v>Check account status</x:v>
      </x:c>
    </x:row>
    <x:row r="75" ht="21" customHeight="1">
      <x:c r="A75" s="74" t="str">
        <x:f>'Entry Queue'!A75</x:f>
        <x:v>C-2071</x:v>
      </x:c>
      <x:c r="B75" s="74" t="str">
        <x:f>IF('Entry Queue'!B75="","",PROPER(TRIM('Entry Queue'!B75)))</x:f>
        <x:v>Sofia</x:v>
      </x:c>
      <x:c r="C75" s="74" t="str">
        <x:f>IF('Entry Queue'!C75="","",PROPER(TRIM('Entry Queue'!C75)))</x:f>
        <x:v>Alvarez</x:v>
      </x:c>
      <x:c r="D75" s="74" t="str">
        <x:f>IF(OR(B75="",C75=""),"",B75&amp;" "&amp;C75)</x:f>
        <x:v>Sofia Alvarez</x:v>
      </x:c>
      <x:c r="E75" s="74" t="str">
        <x:f>IF('Entry Queue'!D75="","",PROPER(TRIM('Entry Queue'!D75)))</x:f>
        <x:v>Poppy Lane</x:v>
      </x:c>
      <x:c r="F75" s="74" t="str">
        <x:f>IF('Entry Queue'!E75="","",LOWER(TRIM('Entry Queue'!E75)))</x:f>
        <x:v>sofia.alvarez1070@poppylane.test</x:v>
      </x:c>
      <x:c r="G75" s="74" t="str">
        <x:f>TRIM('Entry Queue'!F75)</x:f>
        <x:v>+1-415-555-1070</x:v>
      </x:c>
      <x:c r="H75" s="74" t="str">
        <x:f>IF('Entry Queue'!G75="","",PROPER(TRIM('Entry Queue'!G75)))</x:f>
        <x:v>United States</x:v>
      </x:c>
      <x:c r="I75" s="74" t="str">
        <x:f>IF('Entry Queue'!H75="","",PROPER(TRIM('Entry Queue'!H75)))</x:f>
        <x:v>North</x:v>
      </x:c>
      <x:c r="J75" s="74" t="str">
        <x:f>TRIM('Entry Queue'!I75)</x:f>
        <x:v>Website</x:v>
      </x:c>
      <x:c r="K75" s="74" t="str">
        <x:f>TRIM('Entry Queue'!J75)</x:f>
        <x:v>Small business</x:v>
      </x:c>
      <x:c r="L75" s="74" t="str">
        <x:f>TRIM('Entry Queue'!K75)</x:f>
        <x:v>Prospect</x:v>
      </x:c>
      <x:c r="M75" s="75" t="n">
        <x:f>'Entry Queue'!L75</x:f>
        <x:v>46251</x:v>
      </x:c>
      <x:c r="N75" s="74" t="str">
        <x:f>'Entry Queue'!M75</x:f>
        <x:v>A. Patel</x:v>
      </x:c>
      <x:c r="O75" s="76" t="str">
        <x:f>'QC Checks'!I75</x:f>
        <x:v>Ready</x:v>
      </x:c>
    </x:row>
    <x:row r="76" ht="21" customHeight="1">
      <x:c r="A76" s="77" t="str">
        <x:f>'Entry Queue'!A76</x:f>
        <x:v>C-2072</x:v>
      </x:c>
      <x:c r="B76" s="77" t="str">
        <x:f>IF('Entry Queue'!B76="","",PROPER(TRIM('Entry Queue'!B76)))</x:f>
        <x:v>Amir</x:v>
      </x:c>
      <x:c r="C76" s="77" t="str">
        <x:f>IF('Entry Queue'!C76="","",PROPER(TRIM('Entry Queue'!C76)))</x:f>
        <x:v>Wilson</x:v>
      </x:c>
      <x:c r="D76" s="77" t="str">
        <x:f>IF(OR(B76="",C76=""),"",B76&amp;" "&amp;C76)</x:f>
        <x:v>Amir Wilson</x:v>
      </x:c>
      <x:c r="E76" s="77" t="str">
        <x:f>IF('Entry Queue'!D76="","",PROPER(TRIM('Entry Queue'!D76)))</x:f>
        <x:v>Harborline Foods</x:v>
      </x:c>
      <x:c r="F76" s="77" t="str">
        <x:f>IF('Entry Queue'!E76="","",LOWER(TRIM('Entry Queue'!E76)))</x:f>
        <x:v>amir.wilson1071@harborlinefoods.test</x:v>
      </x:c>
      <x:c r="G76" s="77" t="str">
        <x:f>TRIM('Entry Queue'!F76)</x:f>
        <x:v>202 555 1071</x:v>
      </x:c>
      <x:c r="H76" s="77" t="str">
        <x:f>IF('Entry Queue'!G76="","",PROPER(TRIM('Entry Queue'!G76)))</x:f>
        <x:v>Australia</x:v>
      </x:c>
      <x:c r="I76" s="77" t="str">
        <x:f>IF('Entry Queue'!H76="","",PROPER(TRIM('Entry Queue'!H76)))</x:f>
        <x:v>Central</x:v>
      </x:c>
      <x:c r="J76" s="77" t="str">
        <x:f>TRIM('Entry Queue'!I76)</x:f>
        <x:v>Referral</x:v>
      </x:c>
      <x:c r="K76" s="77" t="str">
        <x:f>TRIM('Entry Queue'!J76)</x:f>
        <x:v>Nonprofit</x:v>
      </x:c>
      <x:c r="L76" s="77" t="str">
        <x:f>TRIM('Entry Queue'!K76)</x:f>
        <x:v>Inactive</x:v>
      </x:c>
      <x:c r="M76" s="78" t="n">
        <x:f>'Entry Queue'!L76</x:f>
        <x:v>46283</x:v>
      </x:c>
      <x:c r="N76" s="77" t="str">
        <x:f>'Entry Queue'!M76</x:f>
        <x:v>L. Brooks</x:v>
      </x:c>
      <x:c r="O76" s="79" t="str">
        <x:f>'QC Checks'!I76</x:f>
        <x:v>Ready</x:v>
      </x:c>
    </x:row>
    <x:row r="77" ht="21" customHeight="1">
      <x:c r="A77" s="74" t="str">
        <x:f>'Entry Queue'!A77</x:f>
        <x:v>C-2073</x:v>
      </x:c>
      <x:c r="B77" s="74" t="str">
        <x:f>IF('Entry Queue'!B77="","",PROPER(TRIM('Entry Queue'!B77)))</x:f>
        <x:v>Nora</x:v>
      </x:c>
      <x:c r="C77" s="74" t="str">
        <x:f>IF('Entry Queue'!C77="","",PROPER(TRIM('Entry Queue'!C77)))</x:f>
        <x:v>Green</x:v>
      </x:c>
      <x:c r="D77" s="74" t="str">
        <x:f>IF(OR(B77="",C77=""),"",B77&amp;" "&amp;C77)</x:f>
        <x:v>Nora Green</x:v>
      </x:c>
      <x:c r="E77" s="74" t="str">
        <x:f>IF('Entry Queue'!D77="","",PROPER(TRIM('Entry Queue'!D77)))</x:f>
        <x:v>North Bay Learning</x:v>
      </x:c>
      <x:c r="F77" s="74" t="str">
        <x:f>IF('Entry Queue'!E77="","",LOWER(TRIM('Entry Queue'!E77)))</x:f>
        <x:v>nora.green1072@northbaylearning.test</x:v>
      </x:c>
      <x:c r="G77" s="74" t="str">
        <x:f>TRIM('Entry Queue'!F77)</x:f>
        <x:v>+1 (202) 555-1072</x:v>
      </x:c>
      <x:c r="H77" s="74" t="str">
        <x:f>IF('Entry Queue'!G77="","",PROPER(TRIM('Entry Queue'!G77)))</x:f>
        <x:v>Canada</x:v>
      </x:c>
      <x:c r="I77" s="74" t="str">
        <x:f>IF('Entry Queue'!H77="","",PROPER(TRIM('Entry Queue'!H77)))</x:f>
        <x:v>International</x:v>
      </x:c>
      <x:c r="J77" s="74" t="str">
        <x:f>TRIM('Entry Queue'!I77)</x:f>
        <x:v>Trade show</x:v>
      </x:c>
      <x:c r="K77" s="74" t="str">
        <x:f>TRIM('Entry Queue'!J77)</x:f>
        <x:v>Mid-market</x:v>
      </x:c>
      <x:c r="L77" s="74" t="str">
        <x:f>TRIM('Entry Queue'!K77)</x:f>
        <x:v>Active</x:v>
      </x:c>
      <x:c r="M77" s="75" t="n">
        <x:f>'Entry Queue'!L77</x:f>
        <x:v>46041</x:v>
      </x:c>
      <x:c r="N77" s="74" t="str">
        <x:f>'Entry Queue'!M77</x:f>
        <x:v>R. Shah</x:v>
      </x:c>
      <x:c r="O77" s="76" t="str">
        <x:f>'QC Checks'!I77</x:f>
        <x:v>Ready</x:v>
      </x:c>
    </x:row>
    <x:row r="78" ht="21" customHeight="1">
      <x:c r="A78" s="77" t="str">
        <x:f>'Entry Queue'!A78</x:f>
        <x:v>C-2074</x:v>
      </x:c>
      <x:c r="B78" s="77" t="str">
        <x:f>IF('Entry Queue'!B78="","",PROPER(TRIM('Entry Queue'!B78)))</x:f>
        <x:v>Caleb</x:v>
      </x:c>
      <x:c r="C78" s="77" t="str">
        <x:f>IF('Entry Queue'!C78="","",PROPER(TRIM('Entry Queue'!C78)))</x:f>
        <x:v>Reed</x:v>
      </x:c>
      <x:c r="D78" s="77" t="str">
        <x:f>IF(OR(B78="",C78=""),"",B78&amp;" "&amp;C78)</x:f>
        <x:v>Caleb Reed</x:v>
      </x:c>
      <x:c r="E78" s="77" t="str">
        <x:f>IF('Entry Queue'!D78="","",PROPER(TRIM('Entry Queue'!D78)))</x:f>
        <x:v>Orchard Road</x:v>
      </x:c>
      <x:c r="F78" s="77" t="str">
        <x:f>IF('Entry Queue'!E78="","",LOWER(TRIM('Entry Queue'!E78)))</x:f>
        <x:v>caleb.reed1073@orchardroad.test</x:v>
      </x:c>
      <x:c r="G78" s="77" t="str">
        <x:f>TRIM('Entry Queue'!F78)</x:f>
        <x:v>+1-415-555-1073</x:v>
      </x:c>
      <x:c r="H78" s="77" t="str">
        <x:f>IF('Entry Queue'!G78="","",PROPER(TRIM('Entry Queue'!G78)))</x:f>
        <x:v>India</x:v>
      </x:c>
      <x:c r="I78" s="77" t="str">
        <x:f>IF('Entry Queue'!H78="","",PROPER(TRIM('Entry Queue'!H78)))</x:f>
        <x:v>South</x:v>
      </x:c>
      <x:c r="J78" s="77" t="str">
        <x:f>TRIM('Entry Queue'!I78)</x:f>
        <x:v>Outbound</x:v>
      </x:c>
      <x:c r="K78" s="77" t="str">
        <x:f>TRIM('Entry Queue'!J78)</x:f>
        <x:v>Education</x:v>
      </x:c>
      <x:c r="L78" s="77" t="str">
        <x:f>TRIM('Entry Queue'!K78)</x:f>
        <x:v>Prospect</x:v>
      </x:c>
      <x:c r="M78" s="78" t="n">
        <x:f>'Entry Queue'!L78</x:f>
        <x:v>46073</x:v>
      </x:c>
      <x:c r="N78" s="77" t="str">
        <x:f>'Entry Queue'!M78</x:f>
        <x:v>M. Rivera</x:v>
      </x:c>
      <x:c r="O78" s="79" t="str">
        <x:f>'QC Checks'!I78</x:f>
        <x:v>Ready</x:v>
      </x:c>
    </x:row>
    <x:row r="79" ht="21" customHeight="1">
      <x:c r="A79" s="74" t="str">
        <x:f>'Entry Queue'!A79</x:f>
        <x:v>C-2075</x:v>
      </x:c>
      <x:c r="B79" s="74" t="str">
        <x:f>IF('Entry Queue'!B79="","",PROPER(TRIM('Entry Queue'!B79)))</x:f>
        <x:v>Zara</x:v>
      </x:c>
      <x:c r="C79" s="74" t="str">
        <x:f>IF('Entry Queue'!C79="","",PROPER(TRIM('Entry Queue'!C79)))</x:f>
        <x:v>Thompson</x:v>
      </x:c>
      <x:c r="D79" s="74" t="str">
        <x:f>IF(OR(B79="",C79=""),"",B79&amp;" "&amp;C79)</x:f>
        <x:v>Zara Thompson</x:v>
      </x:c>
      <x:c r="E79" s="74" t="str">
        <x:f>IF('Entry Queue'!D79="","",PROPER(TRIM('Entry Queue'!D79)))</x:f>
        <x:v>Pinecone Studio</x:v>
      </x:c>
      <x:c r="F79" s="74" t="str">
        <x:f>IF('Entry Queue'!E79="","",LOWER(TRIM('Entry Queue'!E79)))</x:f>
        <x:v>zara.thompson1074@pineconestudio.test</x:v>
      </x:c>
      <x:c r="G79" s="74" t="str">
        <x:f>TRIM('Entry Queue'!F79)</x:f>
        <x:v>202 555 1074</x:v>
      </x:c>
      <x:c r="H79" s="74" t="str">
        <x:f>IF('Entry Queue'!G79="","",PROPER(TRIM('Entry Queue'!G79)))</x:f>
        <x:v>United Kingdom</x:v>
      </x:c>
      <x:c r="I79" s="74" t="str">
        <x:f>IF('Entry Queue'!H79="","",PROPER(TRIM('Entry Queue'!H79)))</x:f>
        <x:v>West</x:v>
      </x:c>
      <x:c r="J79" s="74" t="str">
        <x:f>TRIM('Entry Queue'!I79)</x:f>
        <x:v>Partner</x:v>
      </x:c>
      <x:c r="K79" s="74" t="str">
        <x:f>TRIM('Entry Queue'!J79)</x:f>
        <x:v>Enterprise</x:v>
      </x:c>
      <x:c r="L79" s="74" t="str">
        <x:f>TRIM('Entry Queue'!K79)</x:f>
        <x:v>Inactive</x:v>
      </x:c>
      <x:c r="M79" s="75" t="n">
        <x:f>'Entry Queue'!L79</x:f>
        <x:v>46102</x:v>
      </x:c>
      <x:c r="N79" s="74" t="str">
        <x:f>'Entry Queue'!M79</x:f>
        <x:v>K. Evans</x:v>
      </x:c>
      <x:c r="O79" s="76" t="str">
        <x:f>'QC Checks'!I79</x:f>
        <x:v>Ready</x:v>
      </x:c>
    </x:row>
    <x:row r="80" ht="21" customHeight="1">
      <x:c r="A80" s="77" t="str">
        <x:f>'Entry Queue'!A80</x:f>
        <x:v>C-2076</x:v>
      </x:c>
      <x:c r="B80" s="77" t="str">
        <x:f>IF('Entry Queue'!B80="","",PROPER(TRIM('Entry Queue'!B80)))</x:f>
        <x:v>Henry</x:v>
      </x:c>
      <x:c r="C80" s="77" t="str">
        <x:f>IF('Entry Queue'!C80="","",PROPER(TRIM('Entry Queue'!C80)))</x:f>
        <x:v>Adams</x:v>
      </x:c>
      <x:c r="D80" s="77" t="str">
        <x:f>IF(OR(B80="",C80=""),"",B80&amp;" "&amp;C80)</x:f>
        <x:v>Henry Adams</x:v>
      </x:c>
      <x:c r="E80" s="77" t="str">
        <x:f>IF('Entry Queue'!D80="","",PROPER(TRIM('Entry Queue'!D80)))</x:f>
        <x:v>Summit Learning</x:v>
      </x:c>
      <x:c r="F80" s="77" t="str">
        <x:f>IF('Entry Queue'!E80="","",LOWER(TRIM('Entry Queue'!E80)))</x:f>
        <x:v>henry.adams1075@summitlearning.test</x:v>
      </x:c>
      <x:c r="G80" s="77" t="str">
        <x:f>TRIM('Entry Queue'!F80)</x:f>
        <x:v>+1 (202) 555-1000</x:v>
      </x:c>
      <x:c r="H80" s="77" t="str">
        <x:f>IF('Entry Queue'!G80="","",PROPER(TRIM('Entry Queue'!G80)))</x:f>
        <x:v>United States</x:v>
      </x:c>
      <x:c r="I80" s="77" t="str">
        <x:f>IF('Entry Queue'!H80="","",PROPER(TRIM('Entry Queue'!H80)))</x:f>
        <x:v>North</x:v>
      </x:c>
      <x:c r="J80" s="77" t="str">
        <x:f>TRIM('Entry Queue'!I80)</x:f>
        <x:v>Website</x:v>
      </x:c>
      <x:c r="K80" s="77" t="str">
        <x:f>TRIM('Entry Queue'!J80)</x:f>
        <x:v>Small business</x:v>
      </x:c>
      <x:c r="L80" s="77" t="str">
        <x:f>TRIM('Entry Queue'!K80)</x:f>
        <x:v>Active</x:v>
      </x:c>
      <x:c r="M80" s="78" t="n">
        <x:f>'Entry Queue'!L80</x:f>
        <x:v>46134</x:v>
      </x:c>
      <x:c r="N80" s="77" t="str">
        <x:f>'Entry Queue'!M80</x:f>
        <x:v>A. Patel</x:v>
      </x:c>
      <x:c r="O80" s="79" t="str">
        <x:f>'QC Checks'!I80</x:f>
        <x:v>Duplicate phone</x:v>
      </x:c>
    </x:row>
    <x:row r="81" ht="21" customHeight="1">
      <x:c r="A81" s="74" t="str">
        <x:f>'Entry Queue'!A81</x:f>
        <x:v>C-2077</x:v>
      </x:c>
      <x:c r="B81" s="74" t="str">
        <x:f>IF('Entry Queue'!B81="","",PROPER(TRIM('Entry Queue'!B81)))</x:f>
        <x:v>Ivy</x:v>
      </x:c>
      <x:c r="C81" s="74" t="str">
        <x:f>IF('Entry Queue'!C81="","",PROPER(TRIM('Entry Queue'!C81)))</x:f>
        <x:v>Martin</x:v>
      </x:c>
      <x:c r="D81" s="74" t="str">
        <x:f>IF(OR(B81="",C81=""),"",B81&amp;" "&amp;C81)</x:f>
        <x:v>Ivy Martin</x:v>
      </x:c>
      <x:c r="E81" s="74" t="str">
        <x:f>IF('Entry Queue'!D81="","",PROPER(TRIM('Entry Queue'!D81)))</x:f>
        <x:v>Lumen Works</x:v>
      </x:c>
      <x:c r="F81" s="74" t="str">
        <x:f>IF('Entry Queue'!E81="","",LOWER(TRIM('Entry Queue'!E81)))</x:f>
        <x:v>ivy.martin1076@lumenworks.test</x:v>
      </x:c>
      <x:c r="G81" s="74" t="str">
        <x:f>TRIM('Entry Queue'!F81)</x:f>
        <x:v>+1-415-555-1076</x:v>
      </x:c>
      <x:c r="H81" s="74" t="str">
        <x:f>IF('Entry Queue'!G81="","",PROPER(TRIM('Entry Queue'!G81)))</x:f>
        <x:v>Australia</x:v>
      </x:c>
      <x:c r="I81" s="74" t="str">
        <x:f>IF('Entry Queue'!H81="","",PROPER(TRIM('Entry Queue'!H81)))</x:f>
        <x:v>Central</x:v>
      </x:c>
      <x:c r="J81" s="74" t="str">
        <x:f>TRIM('Entry Queue'!I81)</x:f>
        <x:v>Referral</x:v>
      </x:c>
      <x:c r="K81" s="74" t="str">
        <x:f>TRIM('Entry Queue'!J81)</x:f>
        <x:v>Nonprofit</x:v>
      </x:c>
      <x:c r="L81" s="74" t="str">
        <x:f>TRIM('Entry Queue'!K81)</x:f>
        <x:v>Prospect</x:v>
      </x:c>
      <x:c r="M81" s="75" t="n">
        <x:f>'Entry Queue'!L81</x:f>
        <x:v>46165</x:v>
      </x:c>
      <x:c r="N81" s="74" t="str">
        <x:f>'Entry Queue'!M81</x:f>
        <x:v>L. Brooks</x:v>
      </x:c>
      <x:c r="O81" s="76" t="str">
        <x:f>'QC Checks'!I81</x:f>
        <x:v>Ready</x:v>
      </x:c>
    </x:row>
    <x:row r="82" ht="21" customHeight="1">
      <x:c r="A82" s="77" t="str">
        <x:f>'Entry Queue'!A82</x:f>
        <x:v>C-2078</x:v>
      </x:c>
      <x:c r="B82" s="77" t="str">
        <x:f>IF('Entry Queue'!B82="","",PROPER(TRIM('Entry Queue'!B82)))</x:f>
        <x:v>Lucas</x:v>
      </x:c>
      <x:c r="C82" s="77" t="str">
        <x:f>IF('Entry Queue'!C82="","",PROPER(TRIM('Entry Queue'!C82)))</x:f>
        <x:v>Diaz</x:v>
      </x:c>
      <x:c r="D82" s="77" t="str">
        <x:f>IF(OR(B82="",C82=""),"",B82&amp;" "&amp;C82)</x:f>
        <x:v>Lucas Diaz</x:v>
      </x:c>
      <x:c r="E82" s="77" t="str">
        <x:f>IF('Entry Queue'!D82="","",PROPER(TRIM('Entry Queue'!D82)))</x:f>
        <x:v>Red Kite Market</x:v>
      </x:c>
      <x:c r="F82" s="77" t="str">
        <x:f>IF('Entry Queue'!E82="","",LOWER(TRIM('Entry Queue'!E82)))</x:f>
        <x:v>lucas.diaz1077@redkitemarket.test</x:v>
      </x:c>
      <x:c r="G82" s="77" t="str">
        <x:f>TRIM('Entry Queue'!F82)</x:f>
        <x:v>202 555 1077</x:v>
      </x:c>
      <x:c r="H82" s="77" t="str">
        <x:f>IF('Entry Queue'!G82="","",PROPER(TRIM('Entry Queue'!G82)))</x:f>
        <x:v>Canada</x:v>
      </x:c>
      <x:c r="I82" s="77" t="str">
        <x:f>IF('Entry Queue'!H82="","",PROPER(TRIM('Entry Queue'!H82)))</x:f>
        <x:v>International</x:v>
      </x:c>
      <x:c r="J82" s="77" t="str">
        <x:f>TRIM('Entry Queue'!I82)</x:f>
        <x:v>Trade show</x:v>
      </x:c>
      <x:c r="K82" s="77" t="str">
        <x:f>TRIM('Entry Queue'!J82)</x:f>
        <x:v>Mid-market</x:v>
      </x:c>
      <x:c r="L82" s="77" t="str">
        <x:f>TRIM('Entry Queue'!K82)</x:f>
        <x:v>Inactive</x:v>
      </x:c>
      <x:c r="M82" s="78" t="n">
        <x:f>'Entry Queue'!L82</x:f>
        <x:v>46197</x:v>
      </x:c>
      <x:c r="N82" s="77" t="str">
        <x:f>'Entry Queue'!M82</x:f>
        <x:v>R. Shah</x:v>
      </x:c>
      <x:c r="O82" s="79" t="str">
        <x:f>'QC Checks'!I82</x:f>
        <x:v>Ready</x:v>
      </x:c>
    </x:row>
    <x:row r="83" ht="21" customHeight="1">
      <x:c r="A83" s="74" t="str">
        <x:f>'Entry Queue'!A83</x:f>
        <x:v>C-2079</x:v>
      </x:c>
      <x:c r="B83" s="74" t="str">
        <x:f>IF('Entry Queue'!B83="","",PROPER(TRIM('Entry Queue'!B83)))</x:f>
        <x:v>Emma</x:v>
      </x:c>
      <x:c r="C83" s="74" t="str">
        <x:f>IF('Entry Queue'!C83="","",PROPER(TRIM('Entry Queue'!C83)))</x:f>
        <x:v>Okafor</x:v>
      </x:c>
      <x:c r="D83" s="74" t="str">
        <x:f>IF(OR(B83="",C83=""),"",B83&amp;" "&amp;C83)</x:f>
        <x:v>Emma Okafor</x:v>
      </x:c>
      <x:c r="E83" s="74" t="str">
        <x:f>IF('Entry Queue'!D83="","",PROPER(TRIM('Entry Queue'!D83)))</x:f>
        <x:v>Moss &amp; Morrow</x:v>
      </x:c>
      <x:c r="F83" s="74" t="str">
        <x:f>IF('Entry Queue'!E83="","",LOWER(TRIM('Entry Queue'!E83)))</x:f>
        <x:v>emma.okafor1078@mossmorrow.test</x:v>
      </x:c>
      <x:c r="G83" s="74" t="str">
        <x:f>TRIM('Entry Queue'!F83)</x:f>
        <x:v>+1 (202) 555-1078</x:v>
      </x:c>
      <x:c r="H83" s="74" t="str">
        <x:f>IF('Entry Queue'!G83="","",PROPER(TRIM('Entry Queue'!G83)))</x:f>
        <x:v>India</x:v>
      </x:c>
      <x:c r="I83" s="74" t="str">
        <x:f>IF('Entry Queue'!H83="","",PROPER(TRIM('Entry Queue'!H83)))</x:f>
        <x:v>South</x:v>
      </x:c>
      <x:c r="J83" s="74" t="str">
        <x:f>TRIM('Entry Queue'!I83)</x:f>
        <x:v>Outbound</x:v>
      </x:c>
      <x:c r="K83" s="74" t="str">
        <x:f>TRIM('Entry Queue'!J83)</x:f>
        <x:v>Education</x:v>
      </x:c>
      <x:c r="L83" s="74" t="str">
        <x:f>TRIM('Entry Queue'!K83)</x:f>
        <x:v>Active</x:v>
      </x:c>
      <x:c r="M83" s="75" t="n">
        <x:f>'Entry Queue'!L83</x:f>
        <x:v>46228</x:v>
      </x:c>
      <x:c r="N83" s="74" t="str">
        <x:f>'Entry Queue'!M83</x:f>
        <x:v>M. Rivera</x:v>
      </x:c>
      <x:c r="O83" s="76" t="str">
        <x:f>'QC Checks'!I83</x:f>
        <x:v>Ready</x:v>
      </x:c>
    </x:row>
    <x:row r="84" ht="21" customHeight="1">
      <x:c r="A84" s="77" t="str">
        <x:f>'Entry Queue'!A84</x:f>
        <x:v>C-2080</x:v>
      </x:c>
      <x:c r="B84" s="77" t="str">
        <x:f>IF('Entry Queue'!B84="","",PROPER(TRIM('Entry Queue'!B84)))</x:f>
        <x:v>Arjun</x:v>
      </x:c>
      <x:c r="C84" s="77" t="str">
        <x:f>IF('Entry Queue'!C84="","",PROPER(TRIM('Entry Queue'!C84)))</x:f>
        <x:v>Wright</x:v>
      </x:c>
      <x:c r="D84" s="77" t="str">
        <x:f>IF(OR(B84="",C84=""),"",B84&amp;" "&amp;C84)</x:f>
        <x:v>Arjun Wright</x:v>
      </x:c>
      <x:c r="E84" s="77" t="str">
        <x:f>IF('Entry Queue'!D84="","",PROPER(TRIM('Entry Queue'!D84)))</x:f>
        <x:v>Bridgewell Services</x:v>
      </x:c>
      <x:c r="F84" s="77" t="str">
        <x:f>IF('Entry Queue'!E84="","",LOWER(TRIM('Entry Queue'!E84)))</x:f>
        <x:v>arjun.wright1079@bridgewellservices.test</x:v>
      </x:c>
      <x:c r="G84" s="77" t="str">
        <x:f>TRIM('Entry Queue'!F84)</x:f>
        <x:v>+1-415-555-1079</x:v>
      </x:c>
      <x:c r="H84" s="77" t="str">
        <x:f>IF('Entry Queue'!G84="","",PROPER(TRIM('Entry Queue'!G84)))</x:f>
        <x:v>United Kingdom</x:v>
      </x:c>
      <x:c r="I84" s="77" t="str">
        <x:f>IF('Entry Queue'!H84="","",PROPER(TRIM('Entry Queue'!H84)))</x:f>
        <x:v>West</x:v>
      </x:c>
      <x:c r="J84" s="77" t="str">
        <x:f>TRIM('Entry Queue'!I84)</x:f>
        <x:v>Partner</x:v>
      </x:c>
      <x:c r="K84" s="77" t="str">
        <x:f>TRIM('Entry Queue'!J84)</x:f>
        <x:v>Enterprise</x:v>
      </x:c>
      <x:c r="L84" s="77" t="str">
        <x:f>TRIM('Entry Queue'!K84)</x:f>
        <x:v>Prospect</x:v>
      </x:c>
      <x:c r="M84" s="78" t="n">
        <x:f>'Entry Queue'!L84</x:f>
        <x:v>46260</x:v>
      </x:c>
      <x:c r="N84" s="77" t="str">
        <x:f>'Entry Queue'!M84</x:f>
        <x:v>K. Evans</x:v>
      </x:c>
      <x:c r="O84" s="79" t="str">
        <x:f>'QC Checks'!I84</x:f>
        <x:v>Ready</x:v>
      </x:c>
    </x:row>
    <x:row r="85" ht="21" customHeight="1">
      <x:c r="A85" s="74" t="str">
        <x:f>'Entry Queue'!A85</x:f>
        <x:v>C-2081</x:v>
      </x:c>
      <x:c r="B85" s="74" t="str">
        <x:f>IF('Entry Queue'!B85="","",PROPER(TRIM('Entry Queue'!B85)))</x:f>
        <x:v>Grace</x:v>
      </x:c>
      <x:c r="C85" s="74" t="str">
        <x:f>IF('Entry Queue'!C85="","",PROPER(TRIM('Entry Queue'!C85)))</x:f>
        <x:v>Fox</x:v>
      </x:c>
      <x:c r="D85" s="74" t="str">
        <x:f>IF(OR(B85="",C85=""),"",B85&amp;" "&amp;C85)</x:f>
        <x:v>Grace Fox</x:v>
      </x:c>
      <x:c r="E85" s="74" t="str">
        <x:f>IF('Entry Queue'!D85="","",PROPER(TRIM('Entry Queue'!D85)))</x:f>
        <x:v>Atlas Paper</x:v>
      </x:c>
      <x:c r="F85" s="74" t="str">
        <x:f>IF('Entry Queue'!E85="","",LOWER(TRIM('Entry Queue'!E85)))</x:f>
        <x:v>grace.fox1080@atlaspaper.test</x:v>
      </x:c>
      <x:c r="G85" s="74" t="str">
        <x:f>TRIM('Entry Queue'!F85)</x:f>
        <x:v>202 555 1080</x:v>
      </x:c>
      <x:c r="H85" s="74" t="str">
        <x:f>IF('Entry Queue'!G85="","",PROPER(TRIM('Entry Queue'!G85)))</x:f>
        <x:v>United States</x:v>
      </x:c>
      <x:c r="I85" s="74" t="str">
        <x:f>IF('Entry Queue'!H85="","",PROPER(TRIM('Entry Queue'!H85)))</x:f>
        <x:v>North</x:v>
      </x:c>
      <x:c r="J85" s="74" t="str">
        <x:f>TRIM('Entry Queue'!I85)</x:f>
        <x:v>Website</x:v>
      </x:c>
      <x:c r="K85" s="74" t="str">
        <x:f>TRIM('Entry Queue'!J85)</x:f>
        <x:v>Small business</x:v>
      </x:c>
      <x:c r="L85" s="74" t="str">
        <x:f>TRIM('Entry Queue'!K85)</x:f>
        <x:v>Inactive</x:v>
      </x:c>
      <x:c r="M85" s="75" t="n">
        <x:f>'Entry Queue'!L85</x:f>
        <x:v>46292</x:v>
      </x:c>
      <x:c r="N85" s="74" t="str">
        <x:f>'Entry Queue'!M85</x:f>
        <x:v>A. Patel</x:v>
      </x:c>
      <x:c r="O85" s="76" t="str">
        <x:f>'QC Checks'!I85</x:f>
        <x:v>Ready</x:v>
      </x:c>
    </x:row>
    <x:row r="86" ht="21" customHeight="1">
      <x:c r="A86" s="77" t="str">
        <x:f>'Entry Queue'!A86</x:f>
        <x:v>C-2082</x:v>
      </x:c>
      <x:c r="B86" s="77" t="str">
        <x:f>IF('Entry Queue'!B86="","",PROPER(TRIM('Entry Queue'!B86)))</x:f>
        <x:v>Daniel</x:v>
      </x:c>
      <x:c r="C86" s="77" t="str">
        <x:f>IF('Entry Queue'!C86="","",PROPER(TRIM('Entry Queue'!C86)))</x:f>
        <x:v>Patel</x:v>
      </x:c>
      <x:c r="D86" s="77" t="str">
        <x:f>IF(OR(B86="",C86=""),"",B86&amp;" "&amp;C86)</x:f>
        <x:v>Daniel Patel</x:v>
      </x:c>
      <x:c r="E86" s="77" t="str">
        <x:f>IF('Entry Queue'!D86="","",PROPER(TRIM('Entry Queue'!D86)))</x:f>
        <x:v>Evergreen Kitchen</x:v>
      </x:c>
      <x:c r="F86" s="77" t="str">
        <x:f>IF('Entry Queue'!E86="","",LOWER(TRIM('Entry Queue'!E86)))</x:f>
        <x:v>daniel.patel1081@evergreenkitchen.test</x:v>
      </x:c>
      <x:c r="G86" s="77" t="str">
        <x:f>TRIM('Entry Queue'!F86)</x:f>
        <x:v>+1 (202) 555-1081</x:v>
      </x:c>
      <x:c r="H86" s="77" t="str">
        <x:f>IF('Entry Queue'!G86="","",PROPER(TRIM('Entry Queue'!G86)))</x:f>
        <x:v>Australia</x:v>
      </x:c>
      <x:c r="I86" s="77" t="str">
        <x:f>IF('Entry Queue'!H86="","",PROPER(TRIM('Entry Queue'!H86)))</x:f>
        <x:v>Central</x:v>
      </x:c>
      <x:c r="J86" s="77" t="str">
        <x:f>TRIM('Entry Queue'!I86)</x:f>
        <x:v>Referral</x:v>
      </x:c>
      <x:c r="K86" s="77" t="str">
        <x:f>TRIM('Entry Queue'!J86)</x:f>
        <x:v>Nonprofit</x:v>
      </x:c>
      <x:c r="L86" s="77" t="str">
        <x:f>TRIM('Entry Queue'!K86)</x:f>
        <x:v>Active</x:v>
      </x:c>
      <x:c r="M86" s="78" t="n">
        <x:f>'Entry Queue'!L86</x:f>
        <x:v>46023</x:v>
      </x:c>
      <x:c r="N86" s="77" t="str">
        <x:f>'Entry Queue'!M86</x:f>
        <x:v>L. Brooks</x:v>
      </x:c>
      <x:c r="O86" s="79" t="str">
        <x:f>'QC Checks'!I86</x:f>
        <x:v>Ready</x:v>
      </x:c>
    </x:row>
    <x:row r="87" ht="21" customHeight="1">
      <x:c r="A87" s="74" t="str">
        <x:f>'Entry Queue'!A87</x:f>
        <x:v>C-2083</x:v>
      </x:c>
      <x:c r="B87" s="74" t="str">
        <x:f>IF('Entry Queue'!B87="","",PROPER(TRIM('Entry Queue'!B87)))</x:f>
        <x:v>Freya</x:v>
      </x:c>
      <x:c r="C87" s="74" t="str">
        <x:f>IF('Entry Queue'!C87="","",PROPER(TRIM('Entry Queue'!C87)))</x:f>
        <x:v>Haddad</x:v>
      </x:c>
      <x:c r="D87" s="74" t="str">
        <x:f>IF(OR(B87="",C87=""),"",B87&amp;" "&amp;C87)</x:f>
        <x:v>Freya Haddad</x:v>
      </x:c>
      <x:c r="E87" s="74" t="str">
        <x:f>IF('Entry Queue'!D87="","",PROPER(TRIM('Entry Queue'!D87)))</x:f>
        <x:v>Cedar &amp; Finch</x:v>
      </x:c>
      <x:c r="F87" s="74" t="str">
        <x:f>IF('Entry Queue'!E87="","",LOWER(TRIM('Entry Queue'!E87)))</x:f>
        <x:v>freya.haddad1082@cedarfinch.test</x:v>
      </x:c>
      <x:c r="G87" s="74" t="str">
        <x:f>TRIM('Entry Queue'!F87)</x:f>
        <x:v>+1-415-555-1082</x:v>
      </x:c>
      <x:c r="H87" s="74" t="str">
        <x:f>IF('Entry Queue'!G87="","",PROPER(TRIM('Entry Queue'!G87)))</x:f>
        <x:v>Canada</x:v>
      </x:c>
      <x:c r="I87" s="74" t="str">
        <x:f>IF('Entry Queue'!H87="","",PROPER(TRIM('Entry Queue'!H87)))</x:f>
        <x:v>International</x:v>
      </x:c>
      <x:c r="J87" s="74" t="str">
        <x:f>TRIM('Entry Queue'!I87)</x:f>
        <x:v>Trade show</x:v>
      </x:c>
      <x:c r="K87" s="74" t="str">
        <x:f>TRIM('Entry Queue'!J87)</x:f>
        <x:v>Mid-market</x:v>
      </x:c>
      <x:c r="L87" s="74" t="str">
        <x:f>TRIM('Entry Queue'!K87)</x:f>
        <x:v>Prospect</x:v>
      </x:c>
      <x:c r="M87" s="75" t="n">
        <x:f>'Entry Queue'!L87</x:f>
        <x:v>46055</x:v>
      </x:c>
      <x:c r="N87" s="74" t="str">
        <x:f>'Entry Queue'!M87</x:f>
        <x:v>R. Shah</x:v>
      </x:c>
      <x:c r="O87" s="76" t="str">
        <x:f>'QC Checks'!I87</x:f>
        <x:v>Ready</x:v>
      </x:c>
    </x:row>
    <x:row r="88" ht="21" customHeight="1">
      <x:c r="A88" s="77" t="str">
        <x:f>'Entry Queue'!A88</x:f>
        <x:v>C-2084</x:v>
      </x:c>
      <x:c r="B88" s="77" t="str">
        <x:f>IF('Entry Queue'!B88="","",PROPER(TRIM('Entry Queue'!B88)))</x:f>
        <x:v>Theo</x:v>
      </x:c>
      <x:c r="C88" s="77" t="str">
        <x:f>IF('Entry Queue'!C88="","",PROPER(TRIM('Entry Queue'!C88)))</x:f>
        <x:v>Khan</x:v>
      </x:c>
      <x:c r="D88" s="77" t="str">
        <x:f>IF(OR(B88="",C88=""),"",B88&amp;" "&amp;C88)</x:f>
        <x:v>Theo Khan</x:v>
      </x:c>
      <x:c r="E88" s="77" t="str">
        <x:f>IF('Entry Queue'!D88="","",PROPER(TRIM('Entry Queue'!D88)))</x:f>
        <x:v>Fieldstone Home</x:v>
      </x:c>
      <x:c r="F88" s="77" t="str">
        <x:f>IF('Entry Queue'!E88="","",LOWER(TRIM('Entry Queue'!E88)))</x:f>
        <x:v>theo.khan1083@fieldstonehome.test</x:v>
      </x:c>
      <x:c r="G88" s="77" t="str">
        <x:f>TRIM('Entry Queue'!F88)</x:f>
        <x:v>202 555 1083</x:v>
      </x:c>
      <x:c r="H88" s="77" t="str">
        <x:f>IF('Entry Queue'!G88="","",PROPER(TRIM('Entry Queue'!G88)))</x:f>
        <x:v>India</x:v>
      </x:c>
      <x:c r="I88" s="77" t="str">
        <x:f>IF('Entry Queue'!H88="","",PROPER(TRIM('Entry Queue'!H88)))</x:f>
        <x:v>South</x:v>
      </x:c>
      <x:c r="J88" s="77" t="str">
        <x:f>TRIM('Entry Queue'!I88)</x:f>
        <x:v>Outbound</x:v>
      </x:c>
      <x:c r="K88" s="77" t="str">
        <x:f>TRIM('Entry Queue'!J88)</x:f>
        <x:v>Education</x:v>
      </x:c>
      <x:c r="L88" s="77" t="str">
        <x:f>TRIM('Entry Queue'!K88)</x:f>
        <x:v>Inactive</x:v>
      </x:c>
      <x:c r="M88" s="78" t="n">
        <x:f>'Entry Queue'!L88</x:f>
        <x:v>46084</x:v>
      </x:c>
      <x:c r="N88" s="77" t="str">
        <x:f>'Entry Queue'!M88</x:f>
        <x:v>M. Rivera</x:v>
      </x:c>
      <x:c r="O88" s="79" t="str">
        <x:f>'QC Checks'!I88</x:f>
        <x:v>Ready</x:v>
      </x:c>
    </x:row>
    <x:row r="89" ht="21" customHeight="1">
      <x:c r="A89" s="74" t="str">
        <x:f>'Entry Queue'!A89</x:f>
        <x:v>C-2085</x:v>
      </x:c>
      <x:c r="B89" s="74" t="str">
        <x:f>IF('Entry Queue'!B89="","",PROPER(TRIM('Entry Queue'!B89)))</x:f>
        <x:v>Anika</x:v>
      </x:c>
      <x:c r="C89" s="74" t="str">
        <x:f>IF('Entry Queue'!C89="","",PROPER(TRIM('Entry Queue'!C89)))</x:f>
        <x:v>Mehta</x:v>
      </x:c>
      <x:c r="D89" s="74" t="str">
        <x:f>IF(OR(B89="",C89=""),"",B89&amp;" "&amp;C89)</x:f>
        <x:v>Anika Mehta</x:v>
      </x:c>
      <x:c r="E89" s="74" t="str">
        <x:f>IF('Entry Queue'!D89="","",PROPER(TRIM('Entry Queue'!D89)))</x:f>
        <x:v>Maple Row</x:v>
      </x:c>
      <x:c r="F89" s="74" t="str">
        <x:f>IF('Entry Queue'!E89="","",LOWER(TRIM('Entry Queue'!E89)))</x:f>
        <x:v>anika.mehta1084@maplerow.test</x:v>
      </x:c>
      <x:c r="G89" s="74" t="str">
        <x:f>TRIM('Entry Queue'!F89)</x:f>
        <x:v>+1 (202) 555-1084</x:v>
      </x:c>
      <x:c r="H89" s="74" t="str">
        <x:f>IF('Entry Queue'!G89="","",PROPER(TRIM('Entry Queue'!G89)))</x:f>
        <x:v>United Kingdom</x:v>
      </x:c>
      <x:c r="I89" s="74" t="str">
        <x:f>IF('Entry Queue'!H89="","",PROPER(TRIM('Entry Queue'!H89)))</x:f>
        <x:v>West</x:v>
      </x:c>
      <x:c r="J89" s="74" t="str">
        <x:f>TRIM('Entry Queue'!I89)</x:f>
        <x:v>Partner</x:v>
      </x:c>
      <x:c r="K89" s="74" t="str">
        <x:f>TRIM('Entry Queue'!J89)</x:f>
        <x:v>Enterprise</x:v>
      </x:c>
      <x:c r="L89" s="74" t="str">
        <x:f>TRIM('Entry Queue'!K89)</x:f>
        <x:v>Active</x:v>
      </x:c>
      <x:c r="M89" s="75" t="n">
        <x:f>'Entry Queue'!L89</x:f>
        <x:v>46116</x:v>
      </x:c>
      <x:c r="N89" s="74" t="str">
        <x:f>'Entry Queue'!M89</x:f>
        <x:v>K. Evans</x:v>
      </x:c>
      <x:c r="O89" s="76" t="str">
        <x:f>'QC Checks'!I89</x:f>
        <x:v>Ready</x:v>
      </x:c>
    </x:row>
    <x:row r="90" ht="21" customHeight="1">
      <x:c r="A90" s="77" t="str">
        <x:f>'Entry Queue'!A90</x:f>
        <x:v>C-2086</x:v>
      </x:c>
      <x:c r="B90" s="77" t="str">
        <x:f>IF('Entry Queue'!B90="","",PROPER(TRIM('Entry Queue'!B90)))</x:f>
        <x:v>Miles</x:v>
      </x:c>
      <x:c r="C90" s="77" t="str">
        <x:f>IF('Entry Queue'!C90="","",PROPER(TRIM('Entry Queue'!C90)))</x:f>
        <x:v>Bennett</x:v>
      </x:c>
      <x:c r="D90" s="77" t="str">
        <x:f>IF(OR(B90="",C90=""),"",B90&amp;" "&amp;C90)</x:f>
        <x:v>Miles Bennett</x:v>
      </x:c>
      <x:c r="E90" s="77" t="str">
        <x:f>IF('Entry Queue'!D90="","",PROPER(TRIM('Entry Queue'!D90)))</x:f>
        <x:v>Silver Birch Co</x:v>
      </x:c>
      <x:c r="F90" s="77" t="str">
        <x:f>IF('Entry Queue'!E90="","",LOWER(TRIM('Entry Queue'!E90)))</x:f>
        <x:v>miles.bennett1085@silverbirchco.test</x:v>
      </x:c>
      <x:c r="G90" s="77" t="str">
        <x:f>TRIM('Entry Queue'!F90)</x:f>
        <x:v>+1-415-555-1085</x:v>
      </x:c>
      <x:c r="H90" s="77" t="str">
        <x:f>IF('Entry Queue'!G90="","",PROPER(TRIM('Entry Queue'!G90)))</x:f>
        <x:v>United States</x:v>
      </x:c>
      <x:c r="I90" s="77" t="str">
        <x:f>IF('Entry Queue'!H90="","",PROPER(TRIM('Entry Queue'!H90)))</x:f>
        <x:v>North</x:v>
      </x:c>
      <x:c r="J90" s="77" t="str">
        <x:f>TRIM('Entry Queue'!I90)</x:f>
        <x:v>Website</x:v>
      </x:c>
      <x:c r="K90" s="77" t="str">
        <x:f>TRIM('Entry Queue'!J90)</x:f>
        <x:v>Small business</x:v>
      </x:c>
      <x:c r="L90" s="77" t="str">
        <x:f>TRIM('Entry Queue'!K90)</x:f>
        <x:v>Prospect</x:v>
      </x:c>
      <x:c r="M90" s="78" t="n">
        <x:f>'Entry Queue'!L90</x:f>
        <x:v>46147</x:v>
      </x:c>
      <x:c r="N90" s="77" t="str">
        <x:f>'Entry Queue'!M90</x:f>
        <x:v>A. Patel</x:v>
      </x:c>
      <x:c r="O90" s="79" t="str">
        <x:f>'QC Checks'!I90</x:f>
        <x:v>Ready</x:v>
      </x:c>
    </x:row>
    <x:row r="91" ht="21" customHeight="1">
      <x:c r="A91" s="74" t="str">
        <x:f>'Entry Queue'!A91</x:f>
        <x:v>C-2087</x:v>
      </x:c>
      <x:c r="B91" s="74" t="str">
        <x:f>IF('Entry Queue'!B91="","",PROPER(TRIM('Entry Queue'!B91)))</x:f>
        <x:v>Talia</x:v>
      </x:c>
      <x:c r="C91" s="74" t="str">
        <x:f>IF('Entry Queue'!C91="","",PROPER(TRIM('Entry Queue'!C91)))</x:f>
        <x:v>Nair</x:v>
      </x:c>
      <x:c r="D91" s="74" t="str">
        <x:f>IF(OR(B91="",C91=""),"",B91&amp;" "&amp;C91)</x:f>
        <x:v>Talia Nair</x:v>
      </x:c>
      <x:c r="E91" s="74" t="str">
        <x:f>IF('Entry Queue'!D91="","",PROPER(TRIM('Entry Queue'!D91)))</x:f>
        <x:v>East Bay Books</x:v>
      </x:c>
      <x:c r="F91" s="74" t="str">
        <x:f>IF('Entry Queue'!E91="","",LOWER(TRIM('Entry Queue'!E91)))</x:f>
        <x:v>talia.nair1086@eastbaybooks.test</x:v>
      </x:c>
      <x:c r="G91" s="74" t="str">
        <x:f>TRIM('Entry Queue'!F91)</x:f>
        <x:v>202 555 1086</x:v>
      </x:c>
      <x:c r="H91" s="74" t="str">
        <x:f>IF('Entry Queue'!G91="","",PROPER(TRIM('Entry Queue'!G91)))</x:f>
        <x:v>Australia</x:v>
      </x:c>
      <x:c r="I91" s="74" t="str">
        <x:f>IF('Entry Queue'!H91="","",PROPER(TRIM('Entry Queue'!H91)))</x:f>
        <x:v>Central</x:v>
      </x:c>
      <x:c r="J91" s="74" t="str">
        <x:f>TRIM('Entry Queue'!I91)</x:f>
        <x:v>Referral</x:v>
      </x:c>
      <x:c r="K91" s="74" t="str">
        <x:f>TRIM('Entry Queue'!J91)</x:f>
        <x:v>Nonprofit</x:v>
      </x:c>
      <x:c r="L91" s="74" t="str">
        <x:f>TRIM('Entry Queue'!K91)</x:f>
        <x:v>Inactive</x:v>
      </x:c>
      <x:c r="M91" s="75" t="n">
        <x:f>'Entry Queue'!L91</x:f>
        <x:v>46179</x:v>
      </x:c>
      <x:c r="N91" s="74" t="str">
        <x:f>'Entry Queue'!M91</x:f>
        <x:v>L. Brooks</x:v>
      </x:c>
      <x:c r="O91" s="76" t="str">
        <x:f>'QC Checks'!I91</x:f>
        <x:v>Ready</x:v>
      </x:c>
    </x:row>
    <x:row r="92" ht="21" customHeight="1">
      <x:c r="A92" s="77" t="str">
        <x:f>'Entry Queue'!A92</x:f>
        <x:v>C-2088</x:v>
      </x:c>
      <x:c r="B92" s="77" t="str">
        <x:f>IF('Entry Queue'!B92="","",PROPER(TRIM('Entry Queue'!B92)))</x:f>
        <x:v>Ravi</x:v>
      </x:c>
      <x:c r="C92" s="77" t="str">
        <x:f>IF('Entry Queue'!C92="","",PROPER(TRIM('Entry Queue'!C92)))</x:f>
        <x:v>Kim</x:v>
      </x:c>
      <x:c r="D92" s="77" t="str">
        <x:f>IF(OR(B92="",C92=""),"",B92&amp;" "&amp;C92)</x:f>
        <x:v>Ravi Kim</x:v>
      </x:c>
      <x:c r="E92" s="77" t="str">
        <x:f>IF('Entry Queue'!D92="","",PROPER(TRIM('Entry Queue'!D92)))</x:f>
        <x:v>Tandem Outfitters</x:v>
      </x:c>
      <x:c r="F92" s="77" t="str">
        <x:f>IF('Entry Queue'!E92="","",LOWER(TRIM('Entry Queue'!E92)))</x:f>
        <x:v>ravi.kim1087@tandemoutfitters.test</x:v>
      </x:c>
      <x:c r="G92" s="77" t="str">
        <x:f>TRIM('Entry Queue'!F92)</x:f>
        <x:v>+1 (202) 555-1087</x:v>
      </x:c>
      <x:c r="H92" s="77" t="str">
        <x:f>IF('Entry Queue'!G92="","",PROPER(TRIM('Entry Queue'!G92)))</x:f>
        <x:v>Canada</x:v>
      </x:c>
      <x:c r="I92" s="77" t="str">
        <x:f>IF('Entry Queue'!H92="","",PROPER(TRIM('Entry Queue'!H92)))</x:f>
        <x:v>International</x:v>
      </x:c>
      <x:c r="J92" s="77" t="str">
        <x:f>TRIM('Entry Queue'!I92)</x:f>
        <x:v>Trade show</x:v>
      </x:c>
      <x:c r="K92" s="77" t="str">
        <x:f>TRIM('Entry Queue'!J92)</x:f>
        <x:v>Mid-market</x:v>
      </x:c>
      <x:c r="L92" s="77" t="str">
        <x:f>TRIM('Entry Queue'!K92)</x:f>
        <x:v>Active</x:v>
      </x:c>
      <x:c r="M92" s="78" t="n">
        <x:f>'Entry Queue'!L92</x:f>
        <x:v>46210</x:v>
      </x:c>
      <x:c r="N92" s="77" t="str">
        <x:f>'Entry Queue'!M92</x:f>
        <x:v>R. Shah</x:v>
      </x:c>
      <x:c r="O92" s="79" t="str">
        <x:f>'QC Checks'!I92</x:f>
        <x:v>Ready</x:v>
      </x:c>
    </x:row>
    <x:row r="93" ht="21" customHeight="1">
      <x:c r="A93" s="74" t="str">
        <x:f>'Entry Queue'!A93</x:f>
        <x:v>C-2089</x:v>
      </x:c>
      <x:c r="B93" s="74" t="str">
        <x:f>IF('Entry Queue'!B93="","",PROPER(TRIM('Entry Queue'!B93)))</x:f>
        <x:v>Elena</x:v>
      </x:c>
      <x:c r="C93" s="74" t="str">
        <x:f>IF('Entry Queue'!C93="","",PROPER(TRIM('Entry Queue'!C93)))</x:f>
        <x:v>Brown</x:v>
      </x:c>
      <x:c r="D93" s="74" t="str">
        <x:f>IF(OR(B93="",C93=""),"",B93&amp;" "&amp;C93)</x:f>
        <x:v>Elena Brown</x:v>
      </x:c>
      <x:c r="E93" s="74" t="str">
        <x:f>IF('Entry Queue'!D93="","",PROPER(TRIM('Entry Queue'!D93)))</x:f>
        <x:v>Willow &amp; West</x:v>
      </x:c>
      <x:c r="F93" s="74" t="str">
        <x:f>IF('Entry Queue'!E93="","",LOWER(TRIM('Entry Queue'!E93)))</x:f>
        <x:v>elena.brown1088@willowwest.test</x:v>
      </x:c>
      <x:c r="G93" s="74" t="str">
        <x:f>TRIM('Entry Queue'!F93)</x:f>
        <x:v>+1-415-555-1088</x:v>
      </x:c>
      <x:c r="H93" s="74" t="str">
        <x:f>IF('Entry Queue'!G93="","",PROPER(TRIM('Entry Queue'!G93)))</x:f>
        <x:v>India</x:v>
      </x:c>
      <x:c r="I93" s="74" t="str">
        <x:f>IF('Entry Queue'!H93="","",PROPER(TRIM('Entry Queue'!H93)))</x:f>
        <x:v>South</x:v>
      </x:c>
      <x:c r="J93" s="74" t="str">
        <x:f>TRIM('Entry Queue'!I93)</x:f>
        <x:v>Outbound</x:v>
      </x:c>
      <x:c r="K93" s="74" t="str">
        <x:f>TRIM('Entry Queue'!J93)</x:f>
        <x:v>Education</x:v>
      </x:c>
      <x:c r="L93" s="74" t="str">
        <x:f>TRIM('Entry Queue'!K93)</x:f>
        <x:v>Prospect</x:v>
      </x:c>
      <x:c r="M93" s="75" t="n">
        <x:f>'Entry Queue'!L93</x:f>
        <x:v>46242</x:v>
      </x:c>
      <x:c r="N93" s="74" t="str">
        <x:f>'Entry Queue'!M93</x:f>
        <x:v>M. Rivera</x:v>
      </x:c>
      <x:c r="O93" s="76" t="str">
        <x:f>'QC Checks'!I93</x:f>
        <x:v>Ready</x:v>
      </x:c>
    </x:row>
    <x:row r="94" ht="21" customHeight="1">
      <x:c r="A94" s="77" t="str">
        <x:f>'Entry Queue'!A94</x:f>
        <x:v>C-2090</x:v>
      </x:c>
      <x:c r="B94" s="77" t="str">
        <x:f>IF('Entry Queue'!B94="","",PROPER(TRIM('Entry Queue'!B94)))</x:f>
        <x:v>Sam</x:v>
      </x:c>
      <x:c r="C94" s="77" t="str">
        <x:f>IF('Entry Queue'!C94="","",PROPER(TRIM('Entry Queue'!C94)))</x:f>
        <x:v>Shah</x:v>
      </x:c>
      <x:c r="D94" s="77" t="str">
        <x:f>IF(OR(B94="",C94=""),"",B94&amp;" "&amp;C94)</x:f>
        <x:v>Sam Shah</x:v>
      </x:c>
      <x:c r="E94" s="77" t="str">
        <x:f>IF('Entry Queue'!D94="","",PROPER(TRIM('Entry Queue'!D94)))</x:f>
        <x:v>Solstice Supply</x:v>
      </x:c>
      <x:c r="F94" s="77" t="str">
        <x:f>IF('Entry Queue'!E94="","",LOWER(TRIM('Entry Queue'!E94)))</x:f>
        <x:v>maya.chen1000@northstarsupply.test</x:v>
      </x:c>
      <x:c r="G94" s="77" t="str">
        <x:f>TRIM('Entry Queue'!F94)</x:f>
        <x:v>202 555 1089</x:v>
      </x:c>
      <x:c r="H94" s="77" t="str">
        <x:f>IF('Entry Queue'!G94="","",PROPER(TRIM('Entry Queue'!G94)))</x:f>
        <x:v>United Kingdom</x:v>
      </x:c>
      <x:c r="I94" s="77" t="str">
        <x:f>IF('Entry Queue'!H94="","",PROPER(TRIM('Entry Queue'!H94)))</x:f>
        <x:v>West</x:v>
      </x:c>
      <x:c r="J94" s="77" t="str">
        <x:f>TRIM('Entry Queue'!I94)</x:f>
        <x:v>Partner</x:v>
      </x:c>
      <x:c r="K94" s="77" t="str">
        <x:f>TRIM('Entry Queue'!J94)</x:f>
        <x:v>Enterprise</x:v>
      </x:c>
      <x:c r="L94" s="77" t="str">
        <x:f>TRIM('Entry Queue'!K94)</x:f>
        <x:v>Inactive</x:v>
      </x:c>
      <x:c r="M94" s="78" t="n">
        <x:f>'Entry Queue'!L94</x:f>
        <x:v>46274</x:v>
      </x:c>
      <x:c r="N94" s="77" t="str">
        <x:f>'Entry Queue'!M94</x:f>
        <x:v>K. Evans</x:v>
      </x:c>
      <x:c r="O94" s="79" t="str">
        <x:f>'QC Checks'!I94</x:f>
        <x:v>Duplicate email</x:v>
      </x:c>
    </x:row>
    <x:row r="95" ht="21" customHeight="1">
      <x:c r="A95" s="74" t="str">
        <x:f>'Entry Queue'!A95</x:f>
        <x:v>C-2091</x:v>
      </x:c>
      <x:c r="B95" s="74" t="str">
        <x:f>IF('Entry Queue'!B95="","",PROPER(TRIM('Entry Queue'!B95)))</x:f>
        <x:v>Maya</x:v>
      </x:c>
      <x:c r="C95" s="74" t="str">
        <x:f>IF('Entry Queue'!C95="","",PROPER(TRIM('Entry Queue'!C95)))</x:f>
        <x:v>Chen</x:v>
      </x:c>
      <x:c r="D95" s="74" t="str">
        <x:f>IF(OR(B95="",C95=""),"",B95&amp;" "&amp;C95)</x:f>
        <x:v>Maya Chen</x:v>
      </x:c>
      <x:c r="E95" s="74" t="str">
        <x:f>IF('Entry Queue'!D95="","",PROPER(TRIM('Entry Queue'!D95)))</x:f>
        <x:v>Northstar Supply</x:v>
      </x:c>
      <x:c r="F95" s="74" t="str">
        <x:f>IF('Entry Queue'!E95="","",LOWER(TRIM('Entry Queue'!E95)))</x:f>
        <x:v>maya.chen1090@northstarsupply.test</x:v>
      </x:c>
      <x:c r="G95" s="74" t="str">
        <x:f>TRIM('Entry Queue'!F95)</x:f>
        <x:v>+1 (202) 555-1090</x:v>
      </x:c>
      <x:c r="H95" s="74" t="str">
        <x:f>IF('Entry Queue'!G95="","",PROPER(TRIM('Entry Queue'!G95)))</x:f>
        <x:v>United States</x:v>
      </x:c>
      <x:c r="I95" s="74" t="str">
        <x:f>IF('Entry Queue'!H95="","",PROPER(TRIM('Entry Queue'!H95)))</x:f>
        <x:v>North</x:v>
      </x:c>
      <x:c r="J95" s="74" t="str">
        <x:f>TRIM('Entry Queue'!I95)</x:f>
        <x:v>Website</x:v>
      </x:c>
      <x:c r="K95" s="74" t="str">
        <x:f>TRIM('Entry Queue'!J95)</x:f>
        <x:v>Small business</x:v>
      </x:c>
      <x:c r="L95" s="74" t="str">
        <x:f>TRIM('Entry Queue'!K95)</x:f>
        <x:v>Active</x:v>
      </x:c>
      <x:c r="M95" s="75" t="n">
        <x:f>'Entry Queue'!L95</x:f>
        <x:v>46032</x:v>
      </x:c>
      <x:c r="N95" s="74" t="str">
        <x:f>'Entry Queue'!M95</x:f>
        <x:v>A. Patel</x:v>
      </x:c>
      <x:c r="O95" s="76" t="str">
        <x:f>'QC Checks'!I95</x:f>
        <x:v>Ready</x:v>
      </x:c>
    </x:row>
    <x:row r="96" ht="21" customHeight="1">
      <x:c r="A96" s="77" t="str">
        <x:f>'Entry Queue'!A96</x:f>
        <x:v>C-2092</x:v>
      </x:c>
      <x:c r="B96" s="77" t="str">
        <x:f>IF('Entry Queue'!B96="","",PROPER(TRIM('Entry Queue'!B96)))</x:f>
        <x:v>Jonah</x:v>
      </x:c>
      <x:c r="C96" s="77" t="str">
        <x:f>IF('Entry Queue'!C96="","",PROPER(TRIM('Entry Queue'!C96)))</x:f>
        <x:v>Cole</x:v>
      </x:c>
      <x:c r="D96" s="77" t="str">
        <x:f>IF(OR(B96="",C96=""),"",B96&amp;" "&amp;C96)</x:f>
        <x:v>Jonah Cole</x:v>
      </x:c>
      <x:c r="E96" s="77" t="str">
        <x:f>IF('Entry Queue'!D96="","",PROPER(TRIM('Entry Queue'!D96)))</x:f>
        <x:v>Meridian Goods</x:v>
      </x:c>
      <x:c r="F96" s="77" t="str">
        <x:f>IF('Entry Queue'!E96="","",LOWER(TRIM('Entry Queue'!E96)))</x:f>
        <x:v>jonah.cole1091@meridiangoods.test</x:v>
      </x:c>
      <x:c r="G96" s="77" t="str">
        <x:f>TRIM('Entry Queue'!F96)</x:f>
        <x:v>+1-415-555-1091</x:v>
      </x:c>
      <x:c r="H96" s="77" t="str">
        <x:f>IF('Entry Queue'!G96="","",PROPER(TRIM('Entry Queue'!G96)))</x:f>
        <x:v>Australia</x:v>
      </x:c>
      <x:c r="I96" s="77" t="str">
        <x:f>IF('Entry Queue'!H96="","",PROPER(TRIM('Entry Queue'!H96)))</x:f>
        <x:v>Central</x:v>
      </x:c>
      <x:c r="J96" s="77" t="str">
        <x:f>TRIM('Entry Queue'!I96)</x:f>
        <x:v>Referral</x:v>
      </x:c>
      <x:c r="K96" s="77" t="str">
        <x:f>TRIM('Entry Queue'!J96)</x:f>
        <x:v>Nonprofit</x:v>
      </x:c>
      <x:c r="L96" s="77" t="str">
        <x:f>TRIM('Entry Queue'!K96)</x:f>
        <x:v>Prospect</x:v>
      </x:c>
      <x:c r="M96" s="78" t="n">
        <x:f>'Entry Queue'!L96</x:f>
        <x:v>46064</x:v>
      </x:c>
      <x:c r="N96" s="77" t="str">
        <x:f>'Entry Queue'!M96</x:f>
        <x:v>L. Brooks</x:v>
      </x:c>
      <x:c r="O96" s="79" t="str">
        <x:f>'QC Checks'!I96</x:f>
        <x:v>Ready</x:v>
      </x:c>
    </x:row>
    <x:row r="97" ht="21" customHeight="1">
      <x:c r="A97" s="74" t="str">
        <x:f>'Entry Queue'!A97</x:f>
        <x:v>C-2093</x:v>
      </x:c>
      <x:c r="B97" s="74" t="str">
        <x:f>IF('Entry Queue'!B97="","",PROPER(TRIM('Entry Queue'!B97)))</x:f>
        <x:v>Priya</x:v>
      </x:c>
      <x:c r="C97" s="74" t="str">
        <x:f>IF('Entry Queue'!C97="","",PROPER(TRIM('Entry Queue'!C97)))</x:f>
        <x:v>Mahmood</x:v>
      </x:c>
      <x:c r="D97" s="74" t="str">
        <x:f>IF(OR(B97="",C97=""),"",B97&amp;" "&amp;C97)</x:f>
        <x:v>Priya Mahmood</x:v>
      </x:c>
      <x:c r="E97" s="74" t="str">
        <x:f>IF('Entry Queue'!D97="","",PROPER(TRIM('Entry Queue'!D97)))</x:f>
        <x:v>Sunbeam Stationery</x:v>
      </x:c>
      <x:c r="F97" s="74" t="str">
        <x:f>IF('Entry Queue'!E97="","",LOWER(TRIM('Entry Queue'!E97)))</x:f>
        <x:v>priya.mahmood1092@sunbeamstationery.test</x:v>
      </x:c>
      <x:c r="G97" s="74" t="str">
        <x:f>TRIM('Entry Queue'!F97)</x:f>
        <x:v>202 555 1092</x:v>
      </x:c>
      <x:c r="H97" s="74" t="str">
        <x:f>IF('Entry Queue'!G97="","",PROPER(TRIM('Entry Queue'!G97)))</x:f>
        <x:v>Canada</x:v>
      </x:c>
      <x:c r="I97" s="74" t="str">
        <x:f>IF('Entry Queue'!H97="","",PROPER(TRIM('Entry Queue'!H97)))</x:f>
        <x:v>International</x:v>
      </x:c>
      <x:c r="J97" s="74" t="str">
        <x:f>TRIM('Entry Queue'!I97)</x:f>
        <x:v>Trade show</x:v>
      </x:c>
      <x:c r="K97" s="74" t="str">
        <x:f>TRIM('Entry Queue'!J97)</x:f>
        <x:v>Mid-market</x:v>
      </x:c>
      <x:c r="L97" s="74" t="str">
        <x:f>TRIM('Entry Queue'!K97)</x:f>
        <x:v>Inactive</x:v>
      </x:c>
      <x:c r="M97" s="75" t="n">
        <x:f>'Entry Queue'!L97</x:f>
        <x:v>46093</x:v>
      </x:c>
      <x:c r="N97" s="74" t="str">
        <x:f>'Entry Queue'!M97</x:f>
        <x:v>R. Shah</x:v>
      </x:c>
      <x:c r="O97" s="76" t="str">
        <x:f>'QC Checks'!I97</x:f>
        <x:v>Ready</x:v>
      </x:c>
    </x:row>
    <x:row r="98" ht="21" customHeight="1">
      <x:c r="A98" s="77" t="str">
        <x:f>'Entry Queue'!A98</x:f>
        <x:v>C-2094</x:v>
      </x:c>
      <x:c r="B98" s="77" t="str">
        <x:f>IF('Entry Queue'!B98="","",PROPER(TRIM('Entry Queue'!B98)))</x:f>
        <x:v>Owen</x:v>
      </x:c>
      <x:c r="C98" s="77" t="str">
        <x:f>IF('Entry Queue'!C98="","",PROPER(TRIM('Entry Queue'!C98)))</x:f>
        <x:v>Olsen</x:v>
      </x:c>
      <x:c r="D98" s="77" t="str">
        <x:f>IF(OR(B98="",C98=""),"",B98&amp;" "&amp;C98)</x:f>
        <x:v>Owen Olsen</x:v>
      </x:c>
      <x:c r="E98" s="77" t="str">
        <x:f>IF('Entry Queue'!D98="","",PROPER(TRIM('Entry Queue'!D98)))</x:f>
        <x:v>Juniper Retail</x:v>
      </x:c>
      <x:c r="F98" s="77" t="str">
        <x:f>IF('Entry Queue'!E98="","",LOWER(TRIM('Entry Queue'!E98)))</x:f>
        <x:v>owen.olsen1093@juniperretail.test</x:v>
      </x:c>
      <x:c r="G98" s="77" t="str">
        <x:f>TRIM('Entry Queue'!F98)</x:f>
        <x:v>+1 (202) 555-1093</x:v>
      </x:c>
      <x:c r="H98" s="77" t="str">
        <x:f>IF('Entry Queue'!G98="","",PROPER(TRIM('Entry Queue'!G98)))</x:f>
        <x:v>India</x:v>
      </x:c>
      <x:c r="I98" s="77" t="str">
        <x:f>IF('Entry Queue'!H98="","",PROPER(TRIM('Entry Queue'!H98)))</x:f>
        <x:v>South</x:v>
      </x:c>
      <x:c r="J98" s="77" t="str">
        <x:f>TRIM('Entry Queue'!I98)</x:f>
        <x:v>Outbound</x:v>
      </x:c>
      <x:c r="K98" s="77" t="str">
        <x:f>TRIM('Entry Queue'!J98)</x:f>
        <x:v>Education</x:v>
      </x:c>
      <x:c r="L98" s="77" t="str">
        <x:f>TRIM('Entry Queue'!K98)</x:f>
        <x:v>Active</x:v>
      </x:c>
      <x:c r="M98" s="78" t="n">
        <x:f>'Entry Queue'!L98</x:f>
        <x:v>46125</x:v>
      </x:c>
      <x:c r="N98" s="77" t="str">
        <x:f>'Entry Queue'!M98</x:f>
        <x:v>M. Rivera</x:v>
      </x:c>
      <x:c r="O98" s="79" t="str">
        <x:f>'QC Checks'!I98</x:f>
        <x:v>Ready</x:v>
      </x:c>
    </x:row>
    <x:row r="99" ht="21" customHeight="1">
      <x:c r="A99" s="74" t="str">
        <x:f>'Entry Queue'!A99</x:f>
        <x:v>C-2095</x:v>
      </x:c>
      <x:c r="B99" s="74" t="str">
        <x:f>IF('Entry Queue'!B99="","",PROPER(TRIM('Entry Queue'!B99)))</x:f>
        <x:v>Leila</x:v>
      </x:c>
      <x:c r="C99" s="74" t="str">
        <x:f>IF('Entry Queue'!C99="","",PROPER(TRIM('Entry Queue'!C99)))</x:f>
        <x:v>Clark</x:v>
      </x:c>
      <x:c r="D99" s="74" t="str">
        <x:f>IF(OR(B99="",C99=""),"",B99&amp;" "&amp;C99)</x:f>
        <x:v>Leila Clark</x:v>
      </x:c>
      <x:c r="E99" s="74" t="str">
        <x:f>IF('Entry Queue'!D99="","",PROPER(TRIM('Entry Queue'!D99)))</x:f>
        <x:v>Brightwell Design</x:v>
      </x:c>
      <x:c r="F99" s="74" t="str">
        <x:f>IF('Entry Queue'!E99="","",LOWER(TRIM('Entry Queue'!E99)))</x:f>
        <x:v>leila.clark1094@brightwelldesign.test</x:v>
      </x:c>
      <x:c r="G99" s="74" t="str">
        <x:f>TRIM('Entry Queue'!F99)</x:f>
        <x:v>+1-415-555-1094</x:v>
      </x:c>
      <x:c r="H99" s="74" t="str">
        <x:f>IF('Entry Queue'!G99="","",PROPER(TRIM('Entry Queue'!G99)))</x:f>
        <x:v>Usa</x:v>
      </x:c>
      <x:c r="I99" s="74" t="str">
        <x:f>IF('Entry Queue'!H99="","",PROPER(TRIM('Entry Queue'!H99)))</x:f>
        <x:v>West</x:v>
      </x:c>
      <x:c r="J99" s="74" t="str">
        <x:f>TRIM('Entry Queue'!I99)</x:f>
        <x:v>Partner</x:v>
      </x:c>
      <x:c r="K99" s="74" t="str">
        <x:f>TRIM('Entry Queue'!J99)</x:f>
        <x:v>Enterprise</x:v>
      </x:c>
      <x:c r="L99" s="74" t="str">
        <x:f>TRIM('Entry Queue'!K99)</x:f>
        <x:v>Prospect</x:v>
      </x:c>
      <x:c r="M99" s="75" t="n">
        <x:f>'Entry Queue'!L99</x:f>
        <x:v>46156</x:v>
      </x:c>
      <x:c r="N99" s="74" t="str">
        <x:f>'Entry Queue'!M99</x:f>
        <x:v>K. Evans</x:v>
      </x:c>
      <x:c r="O99" s="76" t="str">
        <x:f>'QC Checks'!I99</x:f>
        <x:v>Check country</x:v>
      </x:c>
    </x:row>
    <x:row r="100" ht="21" customHeight="1">
      <x:c r="A100" s="77" t="str">
        <x:f>'Entry Queue'!A100</x:f>
        <x:v>C-2096</x:v>
      </x:c>
      <x:c r="B100" s="77" t="str">
        <x:f>IF('Entry Queue'!B100="","",PROPER(TRIM('Entry Queue'!B100)))</x:f>
        <x:v>Mateo</x:v>
      </x:c>
      <x:c r="C100" s="77" t="str">
        <x:f>IF('Entry Queue'!C100="","",PROPER(TRIM('Entry Queue'!C100)))</x:f>
        <x:v>Silva</x:v>
      </x:c>
      <x:c r="D100" s="77" t="str">
        <x:f>IF(OR(B100="",C100=""),"",B100&amp;" "&amp;C100)</x:f>
        <x:v>Mateo Silva</x:v>
      </x:c>
      <x:c r="E100" s="77" t="str">
        <x:f>IF('Entry Queue'!D100="","",PROPER(TRIM('Entry Queue'!D100)))</x:f>
        <x:v>Granite Grove</x:v>
      </x:c>
      <x:c r="F100" s="77" t="str">
        <x:f>IF('Entry Queue'!E100="","",LOWER(TRIM('Entry Queue'!E100)))</x:f>
        <x:v>mateo.silva1095@granitegrove.test</x:v>
      </x:c>
      <x:c r="G100" s="77" t="str">
        <x:f>TRIM('Entry Queue'!F100)</x:f>
        <x:v>202 555 1095</x:v>
      </x:c>
      <x:c r="H100" s="77" t="str">
        <x:f>IF('Entry Queue'!G100="","",PROPER(TRIM('Entry Queue'!G100)))</x:f>
        <x:v>United States</x:v>
      </x:c>
      <x:c r="I100" s="77" t="str">
        <x:f>IF('Entry Queue'!H100="","",PROPER(TRIM('Entry Queue'!H100)))</x:f>
        <x:v>North</x:v>
      </x:c>
      <x:c r="J100" s="77" t="str">
        <x:f>TRIM('Entry Queue'!I100)</x:f>
        <x:v>Website</x:v>
      </x:c>
      <x:c r="K100" s="77" t="str">
        <x:f>TRIM('Entry Queue'!J100)</x:f>
        <x:v>Small business</x:v>
      </x:c>
      <x:c r="L100" s="77" t="str">
        <x:f>TRIM('Entry Queue'!K100)</x:f>
        <x:v>Inactive</x:v>
      </x:c>
      <x:c r="M100" s="78" t="n">
        <x:f>'Entry Queue'!L100</x:f>
        <x:v>46188</x:v>
      </x:c>
      <x:c r="N100" s="77" t="str">
        <x:f>'Entry Queue'!M100</x:f>
        <x:v>A. Patel</x:v>
      </x:c>
      <x:c r="O100" s="79" t="str">
        <x:f>'QC Checks'!I100</x:f>
        <x:v>Ready</x:v>
      </x:c>
    </x:row>
    <x:row r="101" ht="21" customHeight="1">
      <x:c r="A101" s="74" t="str">
        <x:f>'Entry Queue'!A101</x:f>
        <x:v>C-2097</x:v>
      </x:c>
      <x:c r="B101" s="74" t="str">
        <x:f>IF('Entry Queue'!B101="","",PROPER(TRIM('Entry Queue'!B101)))</x:f>
        <x:v>Ruth</x:v>
      </x:c>
      <x:c r="C101" s="74" t="str">
        <x:f>IF('Entry Queue'!C101="","",PROPER(TRIM('Entry Queue'!C101)))</x:f>
        <x:v>Jensen</x:v>
      </x:c>
      <x:c r="D101" s="74" t="str">
        <x:f>IF(OR(B101="",C101=""),"",B101&amp;" "&amp;C101)</x:f>
        <x:v>Ruth Jensen</x:v>
      </x:c>
      <x:c r="E101" s="74" t="str">
        <x:f>IF('Entry Queue'!D101="","",PROPER(TRIM('Entry Queue'!D101)))</x:f>
        <x:v>Blue Current</x:v>
      </x:c>
      <x:c r="F101" s="74" t="str">
        <x:f>IF('Entry Queue'!E101="","",LOWER(TRIM('Entry Queue'!E101)))</x:f>
        <x:v>ruth.jensen1096@bluecurrent.test</x:v>
      </x:c>
      <x:c r="G101" s="74" t="str">
        <x:f>TRIM('Entry Queue'!F101)</x:f>
        <x:v>+1 (202) 555-1096</x:v>
      </x:c>
      <x:c r="H101" s="74" t="str">
        <x:f>IF('Entry Queue'!G101="","",PROPER(TRIM('Entry Queue'!G101)))</x:f>
        <x:v>Australia</x:v>
      </x:c>
      <x:c r="I101" s="74" t="str">
        <x:f>IF('Entry Queue'!H101="","",PROPER(TRIM('Entry Queue'!H101)))</x:f>
        <x:v>Central</x:v>
      </x:c>
      <x:c r="J101" s="74" t="str">
        <x:f>TRIM('Entry Queue'!I101)</x:f>
        <x:v>Referral</x:v>
      </x:c>
      <x:c r="K101" s="74" t="str">
        <x:f>TRIM('Entry Queue'!J101)</x:f>
        <x:v>Nonprofit</x:v>
      </x:c>
      <x:c r="L101" s="74" t="str">
        <x:f>TRIM('Entry Queue'!K101)</x:f>
        <x:v>Active</x:v>
      </x:c>
      <x:c r="M101" s="75" t="n">
        <x:f>'Entry Queue'!L101</x:f>
        <x:v>46219</x:v>
      </x:c>
      <x:c r="N101" s="74" t="str">
        <x:f>'Entry Queue'!M101</x:f>
        <x:v>L. Brooks</x:v>
      </x:c>
      <x:c r="O101" s="76" t="str">
        <x:f>'QC Checks'!I101</x:f>
        <x:v>Ready</x:v>
      </x:c>
    </x:row>
    <x:row r="102" ht="21" customHeight="1">
      <x:c r="A102" s="77" t="str">
        <x:f>'Entry Queue'!A102</x:f>
        <x:v>C-2098</x:v>
      </x:c>
      <x:c r="B102" s="77" t="str">
        <x:f>IF('Entry Queue'!B102="","",PROPER(TRIM('Entry Queue'!B102)))</x:f>
        <x:v>Ethan</x:v>
      </x:c>
      <x:c r="C102" s="77" t="str">
        <x:f>IF('Entry Queue'!C102="","",PROPER(TRIM('Entry Queue'!C102)))</x:f>
        <x:v>Liu</x:v>
      </x:c>
      <x:c r="D102" s="77" t="str">
        <x:f>IF(OR(B102="",C102=""),"",B102&amp;" "&amp;C102)</x:f>
        <x:v>Ethan Liu</x:v>
      </x:c>
      <x:c r="E102" s="77" t="str">
        <x:f>IF('Entry Queue'!D102="","",PROPER(TRIM('Entry Queue'!D102)))</x:f>
        <x:v>Greenline Market</x:v>
      </x:c>
      <x:c r="F102" s="77" t="str">
        <x:f>IF('Entry Queue'!E102="","",LOWER(TRIM('Entry Queue'!E102)))</x:f>
        <x:v>ethan.liu1097@greenlinemarket.test</x:v>
      </x:c>
      <x:c r="G102" s="77" t="str">
        <x:f>TRIM('Entry Queue'!F102)</x:f>
        <x:v>+1-415-555-1097</x:v>
      </x:c>
      <x:c r="H102" s="77" t="str">
        <x:f>IF('Entry Queue'!G102="","",PROPER(TRIM('Entry Queue'!G102)))</x:f>
        <x:v>Canada</x:v>
      </x:c>
      <x:c r="I102" s="77" t="str">
        <x:f>IF('Entry Queue'!H102="","",PROPER(TRIM('Entry Queue'!H102)))</x:f>
        <x:v>International</x:v>
      </x:c>
      <x:c r="J102" s="77" t="str">
        <x:f>TRIM('Entry Queue'!I102)</x:f>
        <x:v>Trade show</x:v>
      </x:c>
      <x:c r="K102" s="77" t="str">
        <x:f>TRIM('Entry Queue'!J102)</x:f>
        <x:v>Mid-market</x:v>
      </x:c>
      <x:c r="L102" s="77" t="str">
        <x:f>TRIM('Entry Queue'!K102)</x:f>
        <x:v>Prospect</x:v>
      </x:c>
      <x:c r="M102" s="78" t="n">
        <x:f>'Entry Queue'!L102</x:f>
        <x:v>46251</x:v>
      </x:c>
      <x:c r="N102" s="77" t="str">
        <x:f>'Entry Queue'!M102</x:f>
        <x:v>R. Shah</x:v>
      </x:c>
      <x:c r="O102" s="79" t="str">
        <x:f>'QC Checks'!I102</x:f>
        <x:v>Ready</x:v>
      </x:c>
    </x:row>
    <x:row r="103" ht="21" customHeight="1">
      <x:c r="A103" s="74" t="str">
        <x:f>'Entry Queue'!A103</x:f>
        <x:v>C-2099</x:v>
      </x:c>
      <x:c r="B103" s="74" t="str">
        <x:f>IF('Entry Queue'!B103="","",PROPER(TRIM('Entry Queue'!B103)))</x:f>
        <x:v>Ava</x:v>
      </x:c>
      <x:c r="C103" s="74" t="str">
        <x:f>IF('Entry Queue'!C103="","",PROPER(TRIM('Entry Queue'!C103)))</x:f>
        <x:v>Roy</x:v>
      </x:c>
      <x:c r="D103" s="74" t="str">
        <x:f>IF(OR(B103="",C103=""),"",B103&amp;" "&amp;C103)</x:f>
        <x:v>Ava Roy</x:v>
      </x:c>
      <x:c r="E103" s="74" t="str">
        <x:f>IF('Entry Queue'!D103="","",PROPER(TRIM('Entry Queue'!D103)))</x:f>
        <x:v>Cloudberry Labs</x:v>
      </x:c>
      <x:c r="F103" s="74" t="str">
        <x:f>IF('Entry Queue'!E103="","",LOWER(TRIM('Entry Queue'!E103)))</x:f>
        <x:v>ava.roy1098@cloudberrylabs.test</x:v>
      </x:c>
      <x:c r="G103" s="74" t="str">
        <x:f>TRIM('Entry Queue'!F103)</x:f>
        <x:v>202 555 1098</x:v>
      </x:c>
      <x:c r="H103" s="74" t="str">
        <x:f>IF('Entry Queue'!G103="","",PROPER(TRIM('Entry Queue'!G103)))</x:f>
        <x:v>India</x:v>
      </x:c>
      <x:c r="I103" s="74" t="str">
        <x:f>IF('Entry Queue'!H103="","",PROPER(TRIM('Entry Queue'!H103)))</x:f>
        <x:v>South</x:v>
      </x:c>
      <x:c r="J103" s="74" t="str">
        <x:f>TRIM('Entry Queue'!I103)</x:f>
        <x:v>Outbound</x:v>
      </x:c>
      <x:c r="K103" s="74" t="str">
        <x:f>TRIM('Entry Queue'!J103)</x:f>
        <x:v>Education</x:v>
      </x:c>
      <x:c r="L103" s="74" t="str">
        <x:f>TRIM('Entry Queue'!K103)</x:f>
        <x:v>Inactive</x:v>
      </x:c>
      <x:c r="M103" s="75" t="n">
        <x:f>'Entry Queue'!L103</x:f>
        <x:v>46283</x:v>
      </x:c>
      <x:c r="N103" s="74" t="str">
        <x:f>'Entry Queue'!M103</x:f>
        <x:v>M. Rivera</x:v>
      </x:c>
      <x:c r="O103" s="76" t="str">
        <x:f>'QC Checks'!I103</x:f>
        <x:v>Ready</x:v>
      </x:c>
    </x:row>
    <x:row r="104" ht="21" customHeight="1">
      <x:c r="A104" s="77" t="str">
        <x:f>'Entry Queue'!A104</x:f>
        <x:v>C-2100</x:v>
      </x:c>
      <x:c r="B104" s="77" t="str">
        <x:f>IF('Entry Queue'!B104="","",PROPER(TRIM('Entry Queue'!B104)))</x:f>
        <x:v>Noah</x:v>
      </x:c>
      <x:c r="C104" s="77" t="str">
        <x:f>IF('Entry Queue'!C104="","",PROPER(TRIM('Entry Queue'!C104)))</x:f>
        <x:v>Park</x:v>
      </x:c>
      <x:c r="D104" s="77" t="str">
        <x:f>IF(OR(B104="",C104=""),"",B104&amp;" "&amp;C104)</x:f>
        <x:v>Noah Park</x:v>
      </x:c>
      <x:c r="E104" s="77" t="str">
        <x:f>IF('Entry Queue'!D104="","",PROPER(TRIM('Entry Queue'!D104)))</x:f>
        <x:v>Cobalt Office</x:v>
      </x:c>
      <x:c r="F104" s="77" t="str">
        <x:f>IF('Entry Queue'!E104="","",LOWER(TRIM('Entry Queue'!E104)))</x:f>
        <x:v>noah.park1099@cobaltoffice.test</x:v>
      </x:c>
      <x:c r="G104" s="77" t="str">
        <x:f>TRIM('Entry Queue'!F104)</x:f>
        <x:v>+1 (202) 555-1099</x:v>
      </x:c>
      <x:c r="H104" s="77" t="str">
        <x:f>IF('Entry Queue'!G104="","",PROPER(TRIM('Entry Queue'!G104)))</x:f>
        <x:v>United Kingdom</x:v>
      </x:c>
      <x:c r="I104" s="77" t="str">
        <x:f>IF('Entry Queue'!H104="","",PROPER(TRIM('Entry Queue'!H104)))</x:f>
        <x:v>West</x:v>
      </x:c>
      <x:c r="J104" s="77" t="str">
        <x:f>TRIM('Entry Queue'!I104)</x:f>
        <x:v>Partner</x:v>
      </x:c>
      <x:c r="K104" s="77" t="str">
        <x:f>TRIM('Entry Queue'!J104)</x:f>
        <x:v>Enterprise</x:v>
      </x:c>
      <x:c r="L104" s="77" t="str">
        <x:f>TRIM('Entry Queue'!K104)</x:f>
        <x:v>Active</x:v>
      </x:c>
      <x:c r="M104" s="78" t="n">
        <x:f>'Entry Queue'!L104</x:f>
        <x:v>46041</x:v>
      </x:c>
      <x:c r="N104" s="77" t="str">
        <x:f>'Entry Queue'!M104</x:f>
        <x:v>K. Evans</x:v>
      </x:c>
      <x:c r="O104" s="79" t="str">
        <x:f>'QC Checks'!I104</x:f>
        <x:v>Ready</x:v>
      </x:c>
    </x:row>
    <x:row r="105" ht="21" customHeight="1">
      <x:c r="A105" s="74" t="str">
        <x:f>'Entry Queue'!A105</x:f>
        <x:v>C-2101</x:v>
      </x:c>
      <x:c r="B105" s="74" t="str">
        <x:f>IF('Entry Queue'!B105="","",PROPER(TRIM('Entry Queue'!B105)))</x:f>
        <x:v>Sofia</x:v>
      </x:c>
      <x:c r="C105" s="74" t="str">
        <x:f>IF('Entry Queue'!C105="","",PROPER(TRIM('Entry Queue'!C105)))</x:f>
        <x:v>Alvarez</x:v>
      </x:c>
      <x:c r="D105" s="74" t="str">
        <x:f>IF(OR(B105="",C105=""),"",B105&amp;" "&amp;C105)</x:f>
        <x:v>Sofia Alvarez</x:v>
      </x:c>
      <x:c r="E105" s="74" t="str">
        <x:f>IF('Entry Queue'!D105="","",PROPER(TRIM('Entry Queue'!D105)))</x:f>
        <x:v>Poppy Lane</x:v>
      </x:c>
      <x:c r="F105" s="74" t="str">
        <x:f>IF('Entry Queue'!E105="","",LOWER(TRIM('Entry Queue'!E105)))</x:f>
        <x:v>sofia.alvarez1100@poppylane.test</x:v>
      </x:c>
      <x:c r="G105" s="74" t="str">
        <x:f>TRIM('Entry Queue'!F105)</x:f>
        <x:v>+1-415-555-1100</x:v>
      </x:c>
      <x:c r="H105" s="74" t="str">
        <x:f>IF('Entry Queue'!G105="","",PROPER(TRIM('Entry Queue'!G105)))</x:f>
        <x:v>United States</x:v>
      </x:c>
      <x:c r="I105" s="74" t="str">
        <x:f>IF('Entry Queue'!H105="","",PROPER(TRIM('Entry Queue'!H105)))</x:f>
        <x:v>North</x:v>
      </x:c>
      <x:c r="J105" s="74" t="str">
        <x:f>TRIM('Entry Queue'!I105)</x:f>
        <x:v>Website</x:v>
      </x:c>
      <x:c r="K105" s="74" t="str">
        <x:f>TRIM('Entry Queue'!J105)</x:f>
        <x:v>Small business</x:v>
      </x:c>
      <x:c r="L105" s="74" t="str">
        <x:f>TRIM('Entry Queue'!K105)</x:f>
        <x:v>Prospect</x:v>
      </x:c>
      <x:c r="M105" s="75" t="n">
        <x:f>'Entry Queue'!L105</x:f>
        <x:v>46073</x:v>
      </x:c>
      <x:c r="N105" s="74" t="str">
        <x:f>'Entry Queue'!M105</x:f>
        <x:v>A. Patel</x:v>
      </x:c>
      <x:c r="O105" s="76" t="str">
        <x:f>'QC Checks'!I105</x:f>
        <x:v>Ready</x:v>
      </x:c>
    </x:row>
    <x:row r="106" ht="21" customHeight="1">
      <x:c r="A106" s="77" t="str">
        <x:f>'Entry Queue'!A106</x:f>
        <x:v>C-2102</x:v>
      </x:c>
      <x:c r="B106" s="77" t="str">
        <x:f>IF('Entry Queue'!B106="","",PROPER(TRIM('Entry Queue'!B106)))</x:f>
        <x:v>Amir</x:v>
      </x:c>
      <x:c r="C106" s="77" t="str">
        <x:f>IF('Entry Queue'!C106="","",PROPER(TRIM('Entry Queue'!C106)))</x:f>
        <x:v>Wilson</x:v>
      </x:c>
      <x:c r="D106" s="77" t="str">
        <x:f>IF(OR(B106="",C106=""),"",B106&amp;" "&amp;C106)</x:f>
        <x:v>Amir Wilson</x:v>
      </x:c>
      <x:c r="E106" s="77" t="str">
        <x:f>IF('Entry Queue'!D106="","",PROPER(TRIM('Entry Queue'!D106)))</x:f>
        <x:v>Harborline Foods</x:v>
      </x:c>
      <x:c r="F106" s="77" t="str">
        <x:f>IF('Entry Queue'!E106="","",LOWER(TRIM('Entry Queue'!E106)))</x:f>
        <x:v>amir.wilson1101@harborlinefoods.test</x:v>
      </x:c>
      <x:c r="G106" s="77" t="str">
        <x:f>TRIM('Entry Queue'!F106)</x:f>
        <x:v>202 555 1101</x:v>
      </x:c>
      <x:c r="H106" s="77" t="str">
        <x:f>IF('Entry Queue'!G106="","",PROPER(TRIM('Entry Queue'!G106)))</x:f>
        <x:v>Australia</x:v>
      </x:c>
      <x:c r="I106" s="77" t="str">
        <x:f>IF('Entry Queue'!H106="","",PROPER(TRIM('Entry Queue'!H106)))</x:f>
        <x:v>Central</x:v>
      </x:c>
      <x:c r="J106" s="77" t="str">
        <x:f>TRIM('Entry Queue'!I106)</x:f>
        <x:v>Referral</x:v>
      </x:c>
      <x:c r="K106" s="77" t="str">
        <x:f>TRIM('Entry Queue'!J106)</x:f>
        <x:v>Nonprofit</x:v>
      </x:c>
      <x:c r="L106" s="77" t="str">
        <x:f>TRIM('Entry Queue'!K106)</x:f>
        <x:v>Inactive</x:v>
      </x:c>
      <x:c r="M106" s="78" t="n">
        <x:f>'Entry Queue'!L106</x:f>
        <x:v>46102</x:v>
      </x:c>
      <x:c r="N106" s="77" t="str">
        <x:f>'Entry Queue'!M106</x:f>
        <x:v>L. Brooks</x:v>
      </x:c>
      <x:c r="O106" s="79" t="str">
        <x:f>'QC Checks'!I106</x:f>
        <x:v>Ready</x:v>
      </x:c>
    </x:row>
    <x:row r="107" ht="21" customHeight="1">
      <x:c r="A107" s="74" t="str">
        <x:f>'Entry Queue'!A107</x:f>
        <x:v>C-2103</x:v>
      </x:c>
      <x:c r="B107" s="74" t="str">
        <x:f>IF('Entry Queue'!B107="","",PROPER(TRIM('Entry Queue'!B107)))</x:f>
        <x:v>Nora</x:v>
      </x:c>
      <x:c r="C107" s="74" t="str">
        <x:f>IF('Entry Queue'!C107="","",PROPER(TRIM('Entry Queue'!C107)))</x:f>
        <x:v>Green</x:v>
      </x:c>
      <x:c r="D107" s="74" t="str">
        <x:f>IF(OR(B107="",C107=""),"",B107&amp;" "&amp;C107)</x:f>
        <x:v>Nora Green</x:v>
      </x:c>
      <x:c r="E107" s="74" t="str">
        <x:f>IF('Entry Queue'!D107="","",PROPER(TRIM('Entry Queue'!D107)))</x:f>
        <x:v>North Bay Learning</x:v>
      </x:c>
      <x:c r="F107" s="74" t="str">
        <x:f>IF('Entry Queue'!E107="","",LOWER(TRIM('Entry Queue'!E107)))</x:f>
        <x:v>nora.green1102@northbaylearning.test</x:v>
      </x:c>
      <x:c r="G107" s="74" t="str">
        <x:f>TRIM('Entry Queue'!F107)</x:f>
        <x:v>+1 (202) 555-1102</x:v>
      </x:c>
      <x:c r="H107" s="74" t="str">
        <x:f>IF('Entry Queue'!G107="","",PROPER(TRIM('Entry Queue'!G107)))</x:f>
        <x:v>Canada</x:v>
      </x:c>
      <x:c r="I107" s="74" t="str">
        <x:f>IF('Entry Queue'!H107="","",PROPER(TRIM('Entry Queue'!H107)))</x:f>
        <x:v>International</x:v>
      </x:c>
      <x:c r="J107" s="74" t="str">
        <x:f>TRIM('Entry Queue'!I107)</x:f>
        <x:v>Trade show</x:v>
      </x:c>
      <x:c r="K107" s="74" t="str">
        <x:f>TRIM('Entry Queue'!J107)</x:f>
        <x:v>Mid-market</x:v>
      </x:c>
      <x:c r="L107" s="74" t="str">
        <x:f>TRIM('Entry Queue'!K107)</x:f>
        <x:v>Active</x:v>
      </x:c>
      <x:c r="M107" s="75" t="n">
        <x:f>'Entry Queue'!L107</x:f>
        <x:v>46134</x:v>
      </x:c>
      <x:c r="N107" s="74" t="str">
        <x:f>'Entry Queue'!M107</x:f>
        <x:v>R. Shah</x:v>
      </x:c>
      <x:c r="O107" s="76" t="str">
        <x:f>'QC Checks'!I107</x:f>
        <x:v>Ready</x:v>
      </x:c>
    </x:row>
    <x:row r="108" ht="21" customHeight="1">
      <x:c r="A108" s="77" t="str">
        <x:f>'Entry Queue'!A108</x:f>
        <x:v>C-2104</x:v>
      </x:c>
      <x:c r="B108" s="77" t="str">
        <x:f>IF('Entry Queue'!B108="","",PROPER(TRIM('Entry Queue'!B108)))</x:f>
        <x:v>Caleb</x:v>
      </x:c>
      <x:c r="C108" s="77" t="str">
        <x:f>IF('Entry Queue'!C108="","",PROPER(TRIM('Entry Queue'!C108)))</x:f>
        <x:v>Reed</x:v>
      </x:c>
      <x:c r="D108" s="77" t="str">
        <x:f>IF(OR(B108="",C108=""),"",B108&amp;" "&amp;C108)</x:f>
        <x:v>Caleb Reed</x:v>
      </x:c>
      <x:c r="E108" s="77" t="str">
        <x:f>IF('Entry Queue'!D108="","",PROPER(TRIM('Entry Queue'!D108)))</x:f>
        <x:v>Orchard Road</x:v>
      </x:c>
      <x:c r="F108" s="77" t="str">
        <x:f>IF('Entry Queue'!E108="","",LOWER(TRIM('Entry Queue'!E108)))</x:f>
        <x:v>caleb.reed1103@orchardroad.test</x:v>
      </x:c>
      <x:c r="G108" s="77" t="str">
        <x:f>TRIM('Entry Queue'!F108)</x:f>
        <x:v>+1-415-555-1103</x:v>
      </x:c>
      <x:c r="H108" s="77" t="str">
        <x:f>IF('Entry Queue'!G108="","",PROPER(TRIM('Entry Queue'!G108)))</x:f>
        <x:v>India</x:v>
      </x:c>
      <x:c r="I108" s="77" t="str">
        <x:f>IF('Entry Queue'!H108="","",PROPER(TRIM('Entry Queue'!H108)))</x:f>
        <x:v>South</x:v>
      </x:c>
      <x:c r="J108" s="77" t="str">
        <x:f>TRIM('Entry Queue'!I108)</x:f>
        <x:v>Outbound</x:v>
      </x:c>
      <x:c r="K108" s="77" t="str">
        <x:f>TRIM('Entry Queue'!J108)</x:f>
        <x:v>Education</x:v>
      </x:c>
      <x:c r="L108" s="77" t="str">
        <x:f>TRIM('Entry Queue'!K108)</x:f>
        <x:v>Prospect</x:v>
      </x:c>
      <x:c r="M108" s="78" t="n">
        <x:f>'Entry Queue'!L108</x:f>
        <x:v>46165</x:v>
      </x:c>
      <x:c r="N108" s="77" t="str">
        <x:f>'Entry Queue'!M108</x:f>
        <x:v>M. Rivera</x:v>
      </x:c>
      <x:c r="O108" s="79" t="str">
        <x:f>'QC Checks'!I108</x:f>
        <x:v>Ready</x:v>
      </x:c>
    </x:row>
    <x:row r="109" ht="21" customHeight="1">
      <x:c r="A109" s="74" t="str">
        <x:f>'Entry Queue'!A109</x:f>
        <x:v>C-2105</x:v>
      </x:c>
      <x:c r="B109" s="74" t="str">
        <x:f>IF('Entry Queue'!B109="","",PROPER(TRIM('Entry Queue'!B109)))</x:f>
        <x:v>Zara</x:v>
      </x:c>
      <x:c r="C109" s="74" t="str">
        <x:f>IF('Entry Queue'!C109="","",PROPER(TRIM('Entry Queue'!C109)))</x:f>
        <x:v>Thompson</x:v>
      </x:c>
      <x:c r="D109" s="74" t="str">
        <x:f>IF(OR(B109="",C109=""),"",B109&amp;" "&amp;C109)</x:f>
        <x:v>Zara Thompson</x:v>
      </x:c>
      <x:c r="E109" s="74" t="str">
        <x:f>IF('Entry Queue'!D109="","",PROPER(TRIM('Entry Queue'!D109)))</x:f>
        <x:v>Pinecone Studio</x:v>
      </x:c>
      <x:c r="F109" s="74" t="str">
        <x:f>IF('Entry Queue'!E109="","",LOWER(TRIM('Entry Queue'!E109)))</x:f>
        <x:v>zara.thompson1104@pineconestudio.test</x:v>
      </x:c>
      <x:c r="G109" s="74" t="str">
        <x:f>TRIM('Entry Queue'!F109)</x:f>
        <x:v>202 555 1104</x:v>
      </x:c>
      <x:c r="H109" s="74" t="str">
        <x:f>IF('Entry Queue'!G109="","",PROPER(TRIM('Entry Queue'!G109)))</x:f>
        <x:v>United Kingdom</x:v>
      </x:c>
      <x:c r="I109" s="74" t="str">
        <x:f>IF('Entry Queue'!H109="","",PROPER(TRIM('Entry Queue'!H109)))</x:f>
        <x:v>West</x:v>
      </x:c>
      <x:c r="J109" s="74" t="str">
        <x:f>TRIM('Entry Queue'!I109)</x:f>
        <x:v>Partner</x:v>
      </x:c>
      <x:c r="K109" s="74" t="str">
        <x:f>TRIM('Entry Queue'!J109)</x:f>
        <x:v>Enterprise</x:v>
      </x:c>
      <x:c r="L109" s="74" t="str">
        <x:f>TRIM('Entry Queue'!K109)</x:f>
        <x:v>Inactive</x:v>
      </x:c>
      <x:c r="M109" s="75" t="n">
        <x:f>'Entry Queue'!L109</x:f>
        <x:v>46197</x:v>
      </x:c>
      <x:c r="N109" s="74" t="str">
        <x:f>'Entry Queue'!M109</x:f>
        <x:v>K. Evans</x:v>
      </x:c>
      <x:c r="O109" s="76" t="str">
        <x:f>'QC Checks'!I109</x:f>
        <x:v>Ready</x:v>
      </x:c>
    </x:row>
    <x:row r="110" ht="21" customHeight="1">
      <x:c r="A110" s="77" t="str">
        <x:f>'Entry Queue'!A110</x:f>
        <x:v>C-2106</x:v>
      </x:c>
      <x:c r="B110" s="77" t="str">
        <x:f>IF('Entry Queue'!B110="","",PROPER(TRIM('Entry Queue'!B110)))</x:f>
        <x:v>Henry</x:v>
      </x:c>
      <x:c r="C110" s="77" t="str">
        <x:f>IF('Entry Queue'!C110="","",PROPER(TRIM('Entry Queue'!C110)))</x:f>
        <x:v>Adams</x:v>
      </x:c>
      <x:c r="D110" s="77" t="str">
        <x:f>IF(OR(B110="",C110=""),"",B110&amp;" "&amp;C110)</x:f>
        <x:v>Henry Adams</x:v>
      </x:c>
      <x:c r="E110" s="77" t="str">
        <x:f>IF('Entry Queue'!D110="","",PROPER(TRIM('Entry Queue'!D110)))</x:f>
        <x:v>Summit Learning</x:v>
      </x:c>
      <x:c r="F110" s="77" t="str">
        <x:f>IF('Entry Queue'!E110="","",LOWER(TRIM('Entry Queue'!E110)))</x:f>
        <x:v>henry.adams1105@summitlearning.test</x:v>
      </x:c>
      <x:c r="G110" s="77" t="str">
        <x:f>TRIM('Entry Queue'!F110)</x:f>
        <x:v>+1 (202) 555-1105</x:v>
      </x:c>
      <x:c r="H110" s="77" t="str">
        <x:f>IF('Entry Queue'!G110="","",PROPER(TRIM('Entry Queue'!G110)))</x:f>
        <x:v>United States</x:v>
      </x:c>
      <x:c r="I110" s="77" t="str">
        <x:f>IF('Entry Queue'!H110="","",PROPER(TRIM('Entry Queue'!H110)))</x:f>
        <x:v>North</x:v>
      </x:c>
      <x:c r="J110" s="77" t="str">
        <x:f>TRIM('Entry Queue'!I110)</x:f>
        <x:v>Website</x:v>
      </x:c>
      <x:c r="K110" s="77" t="str">
        <x:f>TRIM('Entry Queue'!J110)</x:f>
        <x:v>Small business</x:v>
      </x:c>
      <x:c r="L110" s="77" t="str">
        <x:f>TRIM('Entry Queue'!K110)</x:f>
        <x:v>Active</x:v>
      </x:c>
      <x:c r="M110" s="78" t="n">
        <x:f>'Entry Queue'!L110</x:f>
        <x:v>46228</x:v>
      </x:c>
      <x:c r="N110" s="77" t="str">
        <x:f>'Entry Queue'!M110</x:f>
        <x:v>A. Patel</x:v>
      </x:c>
      <x:c r="O110" s="79" t="str">
        <x:f>'QC Checks'!I110</x:f>
        <x:v>Ready</x:v>
      </x:c>
    </x:row>
    <x:row r="111" ht="21" customHeight="1">
      <x:c r="A111" s="74" t="str">
        <x:f>'Entry Queue'!A111</x:f>
        <x:v>C-2107</x:v>
      </x:c>
      <x:c r="B111" s="74" t="str">
        <x:f>IF('Entry Queue'!B111="","",PROPER(TRIM('Entry Queue'!B111)))</x:f>
        <x:v>Ivy</x:v>
      </x:c>
      <x:c r="C111" s="74" t="str">
        <x:f>IF('Entry Queue'!C111="","",PROPER(TRIM('Entry Queue'!C111)))</x:f>
        <x:v>Martin</x:v>
      </x:c>
      <x:c r="D111" s="74" t="str">
        <x:f>IF(OR(B111="",C111=""),"",B111&amp;" "&amp;C111)</x:f>
        <x:v>Ivy Martin</x:v>
      </x:c>
      <x:c r="E111" s="74" t="str">
        <x:f>IF('Entry Queue'!D111="","",PROPER(TRIM('Entry Queue'!D111)))</x:f>
        <x:v>Lumen Works</x:v>
      </x:c>
      <x:c r="F111" s="74" t="str">
        <x:f>IF('Entry Queue'!E111="","",LOWER(TRIM('Entry Queue'!E111)))</x:f>
        <x:v>ivy.martin1106@lumenworks.test</x:v>
      </x:c>
      <x:c r="G111" s="74" t="str">
        <x:f>TRIM('Entry Queue'!F111)</x:f>
        <x:v>+1-415-555-1106</x:v>
      </x:c>
      <x:c r="H111" s="74" t="str">
        <x:f>IF('Entry Queue'!G111="","",PROPER(TRIM('Entry Queue'!G111)))</x:f>
        <x:v>Australia</x:v>
      </x:c>
      <x:c r="I111" s="74" t="str">
        <x:f>IF('Entry Queue'!H111="","",PROPER(TRIM('Entry Queue'!H111)))</x:f>
        <x:v>Central</x:v>
      </x:c>
      <x:c r="J111" s="74" t="str">
        <x:f>TRIM('Entry Queue'!I111)</x:f>
        <x:v>Referral</x:v>
      </x:c>
      <x:c r="K111" s="74" t="str">
        <x:f>TRIM('Entry Queue'!J111)</x:f>
        <x:v>Nonprofit</x:v>
      </x:c>
      <x:c r="L111" s="74" t="str">
        <x:f>TRIM('Entry Queue'!K111)</x:f>
        <x:v>Prospect</x:v>
      </x:c>
      <x:c r="M111" s="75" t="n">
        <x:f>'Entry Queue'!L111</x:f>
        <x:v>46260</x:v>
      </x:c>
      <x:c r="N111" s="74" t="str">
        <x:f>'Entry Queue'!M111</x:f>
        <x:v>L. Brooks</x:v>
      </x:c>
      <x:c r="O111" s="76" t="str">
        <x:f>'QC Checks'!I111</x:f>
        <x:v>Ready</x:v>
      </x:c>
    </x:row>
    <x:row r="112" ht="21" customHeight="1">
      <x:c r="A112" s="77" t="str">
        <x:f>'Entry Queue'!A112</x:f>
        <x:v>C-2108</x:v>
      </x:c>
      <x:c r="B112" s="77" t="str">
        <x:f>IF('Entry Queue'!B112="","",PROPER(TRIM('Entry Queue'!B112)))</x:f>
        <x:v>Lucas</x:v>
      </x:c>
      <x:c r="C112" s="77" t="str">
        <x:f>IF('Entry Queue'!C112="","",PROPER(TRIM('Entry Queue'!C112)))</x:f>
        <x:v>Diaz</x:v>
      </x:c>
      <x:c r="D112" s="77" t="str">
        <x:f>IF(OR(B112="",C112=""),"",B112&amp;" "&amp;C112)</x:f>
        <x:v>Lucas Diaz</x:v>
      </x:c>
      <x:c r="E112" s="77" t="str">
        <x:f>IF('Entry Queue'!D112="","",PROPER(TRIM('Entry Queue'!D112)))</x:f>
        <x:v>Red Kite Market</x:v>
      </x:c>
      <x:c r="F112" s="77" t="str">
        <x:f>IF('Entry Queue'!E112="","",LOWER(TRIM('Entry Queue'!E112)))</x:f>
        <x:v>lucas.diaz1107@redkitemarket.test</x:v>
      </x:c>
      <x:c r="G112" s="77" t="str">
        <x:f>TRIM('Entry Queue'!F112)</x:f>
        <x:v>202 555 1107</x:v>
      </x:c>
      <x:c r="H112" s="77" t="str">
        <x:f>IF('Entry Queue'!G112="","",PROPER(TRIM('Entry Queue'!G112)))</x:f>
        <x:v>Canada</x:v>
      </x:c>
      <x:c r="I112" s="77" t="str">
        <x:f>IF('Entry Queue'!H112="","",PROPER(TRIM('Entry Queue'!H112)))</x:f>
        <x:v>Far West</x:v>
      </x:c>
      <x:c r="J112" s="77" t="str">
        <x:f>TRIM('Entry Queue'!I112)</x:f>
        <x:v>Trade show</x:v>
      </x:c>
      <x:c r="K112" s="77" t="str">
        <x:f>TRIM('Entry Queue'!J112)</x:f>
        <x:v>Mid-market</x:v>
      </x:c>
      <x:c r="L112" s="77" t="str">
        <x:f>TRIM('Entry Queue'!K112)</x:f>
        <x:v>Inactive</x:v>
      </x:c>
      <x:c r="M112" s="78" t="n">
        <x:f>'Entry Queue'!L112</x:f>
        <x:v>46292</x:v>
      </x:c>
      <x:c r="N112" s="77" t="str">
        <x:f>'Entry Queue'!M112</x:f>
        <x:v>R. Shah</x:v>
      </x:c>
      <x:c r="O112" s="79" t="str">
        <x:f>'QC Checks'!I112</x:f>
        <x:v>Check territory</x:v>
      </x:c>
    </x:row>
    <x:row r="113" ht="21" customHeight="1">
      <x:c r="A113" s="74" t="str">
        <x:f>'Entry Queue'!A113</x:f>
        <x:v>C-2109</x:v>
      </x:c>
      <x:c r="B113" s="74" t="str">
        <x:f>IF('Entry Queue'!B113="","",PROPER(TRIM('Entry Queue'!B113)))</x:f>
        <x:v>Emma</x:v>
      </x:c>
      <x:c r="C113" s="74" t="str">
        <x:f>IF('Entry Queue'!C113="","",PROPER(TRIM('Entry Queue'!C113)))</x:f>
        <x:v>Okafor</x:v>
      </x:c>
      <x:c r="D113" s="74" t="str">
        <x:f>IF(OR(B113="",C113=""),"",B113&amp;" "&amp;C113)</x:f>
        <x:v>Emma Okafor</x:v>
      </x:c>
      <x:c r="E113" s="74" t="str">
        <x:f>IF('Entry Queue'!D113="","",PROPER(TRIM('Entry Queue'!D113)))</x:f>
        <x:v>Moss &amp; Morrow</x:v>
      </x:c>
      <x:c r="F113" s="74" t="str">
        <x:f>IF('Entry Queue'!E113="","",LOWER(TRIM('Entry Queue'!E113)))</x:f>
        <x:v>emma.okafor1108@mossmorrow.test</x:v>
      </x:c>
      <x:c r="G113" s="74" t="str">
        <x:f>TRIM('Entry Queue'!F113)</x:f>
        <x:v>+1 (202) 555-1108</x:v>
      </x:c>
      <x:c r="H113" s="74" t="str">
        <x:f>IF('Entry Queue'!G113="","",PROPER(TRIM('Entry Queue'!G113)))</x:f>
        <x:v>India</x:v>
      </x:c>
      <x:c r="I113" s="74" t="str">
        <x:f>IF('Entry Queue'!H113="","",PROPER(TRIM('Entry Queue'!H113)))</x:f>
        <x:v>South</x:v>
      </x:c>
      <x:c r="J113" s="74" t="str">
        <x:f>TRIM('Entry Queue'!I113)</x:f>
        <x:v>Outbound</x:v>
      </x:c>
      <x:c r="K113" s="74" t="str">
        <x:f>TRIM('Entry Queue'!J113)</x:f>
        <x:v>Education</x:v>
      </x:c>
      <x:c r="L113" s="74" t="str">
        <x:f>TRIM('Entry Queue'!K113)</x:f>
        <x:v>Active</x:v>
      </x:c>
      <x:c r="M113" s="75" t="n">
        <x:f>'Entry Queue'!L113</x:f>
        <x:v>46023</x:v>
      </x:c>
      <x:c r="N113" s="74" t="str">
        <x:f>'Entry Queue'!M113</x:f>
        <x:v>M. Rivera</x:v>
      </x:c>
      <x:c r="O113" s="76" t="str">
        <x:f>'QC Checks'!I113</x:f>
        <x:v>Ready</x:v>
      </x:c>
    </x:row>
    <x:row r="114" ht="21" customHeight="1">
      <x:c r="A114" s="77" t="str">
        <x:f>'Entry Queue'!A114</x:f>
        <x:v>C-2110</x:v>
      </x:c>
      <x:c r="B114" s="77" t="str">
        <x:f>IF('Entry Queue'!B114="","",PROPER(TRIM('Entry Queue'!B114)))</x:f>
        <x:v>Arjun</x:v>
      </x:c>
      <x:c r="C114" s="77" t="str">
        <x:f>IF('Entry Queue'!C114="","",PROPER(TRIM('Entry Queue'!C114)))</x:f>
        <x:v>Wright</x:v>
      </x:c>
      <x:c r="D114" s="77" t="str">
        <x:f>IF(OR(B114="",C114=""),"",B114&amp;" "&amp;C114)</x:f>
        <x:v>Arjun Wright</x:v>
      </x:c>
      <x:c r="E114" s="77" t="str">
        <x:f>IF('Entry Queue'!D114="","",PROPER(TRIM('Entry Queue'!D114)))</x:f>
        <x:v>Bridgewell Services</x:v>
      </x:c>
      <x:c r="F114" s="77" t="str">
        <x:f>IF('Entry Queue'!E114="","",LOWER(TRIM('Entry Queue'!E114)))</x:f>
        <x:v>arjun.wright1109@bridgewellservices.test</x:v>
      </x:c>
      <x:c r="G114" s="77" t="str">
        <x:f>TRIM('Entry Queue'!F114)</x:f>
        <x:v>+1-415-555-1109</x:v>
      </x:c>
      <x:c r="H114" s="77" t="str">
        <x:f>IF('Entry Queue'!G114="","",PROPER(TRIM('Entry Queue'!G114)))</x:f>
        <x:v>United Kingdom</x:v>
      </x:c>
      <x:c r="I114" s="77" t="str">
        <x:f>IF('Entry Queue'!H114="","",PROPER(TRIM('Entry Queue'!H114)))</x:f>
        <x:v>West</x:v>
      </x:c>
      <x:c r="J114" s="77" t="str">
        <x:f>TRIM('Entry Queue'!I114)</x:f>
        <x:v>Partner</x:v>
      </x:c>
      <x:c r="K114" s="77" t="str">
        <x:f>TRIM('Entry Queue'!J114)</x:f>
        <x:v>Enterprise</x:v>
      </x:c>
      <x:c r="L114" s="77" t="str">
        <x:f>TRIM('Entry Queue'!K114)</x:f>
        <x:v>Prospect</x:v>
      </x:c>
      <x:c r="M114" s="78" t="n">
        <x:f>'Entry Queue'!L114</x:f>
        <x:v>46055</x:v>
      </x:c>
      <x:c r="N114" s="77" t="str">
        <x:f>'Entry Queue'!M114</x:f>
        <x:v>K. Evans</x:v>
      </x:c>
      <x:c r="O114" s="79" t="str">
        <x:f>'QC Checks'!I114</x:f>
        <x:v>Ready</x:v>
      </x:c>
    </x:row>
    <x:row r="115" ht="21" customHeight="1">
      <x:c r="A115" s="74" t="str">
        <x:f>'Entry Queue'!A115</x:f>
        <x:v>C-2111</x:v>
      </x:c>
      <x:c r="B115" s="74" t="str">
        <x:f>IF('Entry Queue'!B115="","",PROPER(TRIM('Entry Queue'!B115)))</x:f>
        <x:v>Grace</x:v>
      </x:c>
      <x:c r="C115" s="74" t="str">
        <x:f>IF('Entry Queue'!C115="","",PROPER(TRIM('Entry Queue'!C115)))</x:f>
        <x:v>Fox</x:v>
      </x:c>
      <x:c r="D115" s="74" t="str">
        <x:f>IF(OR(B115="",C115=""),"",B115&amp;" "&amp;C115)</x:f>
        <x:v>Grace Fox</x:v>
      </x:c>
      <x:c r="E115" s="74" t="str">
        <x:f>IF('Entry Queue'!D115="","",PROPER(TRIM('Entry Queue'!D115)))</x:f>
        <x:v>Atlas Paper</x:v>
      </x:c>
      <x:c r="F115" s="74" t="str">
        <x:f>IF('Entry Queue'!E115="","",LOWER(TRIM('Entry Queue'!E115)))</x:f>
        <x:v>grace.fox1110@atlaspaper.test</x:v>
      </x:c>
      <x:c r="G115" s="74" t="str">
        <x:f>TRIM('Entry Queue'!F115)</x:f>
        <x:v>202 555 1110</x:v>
      </x:c>
      <x:c r="H115" s="74" t="str">
        <x:f>IF('Entry Queue'!G115="","",PROPER(TRIM('Entry Queue'!G115)))</x:f>
        <x:v>United States</x:v>
      </x:c>
      <x:c r="I115" s="74" t="str">
        <x:f>IF('Entry Queue'!H115="","",PROPER(TRIM('Entry Queue'!H115)))</x:f>
        <x:v>North</x:v>
      </x:c>
      <x:c r="J115" s="74" t="str">
        <x:f>TRIM('Entry Queue'!I115)</x:f>
        <x:v>Website</x:v>
      </x:c>
      <x:c r="K115" s="74" t="str">
        <x:f>TRIM('Entry Queue'!J115)</x:f>
        <x:v>Small business</x:v>
      </x:c>
      <x:c r="L115" s="74" t="str">
        <x:f>TRIM('Entry Queue'!K115)</x:f>
        <x:v>Inactive</x:v>
      </x:c>
      <x:c r="M115" s="75" t="n">
        <x:f>'Entry Queue'!L115</x:f>
        <x:v>46084</x:v>
      </x:c>
      <x:c r="N115" s="74" t="str">
        <x:f>'Entry Queue'!M115</x:f>
        <x:v>A. Patel</x:v>
      </x:c>
      <x:c r="O115" s="76" t="str">
        <x:f>'QC Checks'!I115</x:f>
        <x:v>Ready</x:v>
      </x:c>
    </x:row>
    <x:row r="116" ht="21" customHeight="1">
      <x:c r="A116" s="77" t="str">
        <x:f>'Entry Queue'!A116</x:f>
        <x:v>C-2112</x:v>
      </x:c>
      <x:c r="B116" s="77" t="str">
        <x:f>IF('Entry Queue'!B116="","",PROPER(TRIM('Entry Queue'!B116)))</x:f>
        <x:v>Daniel</x:v>
      </x:c>
      <x:c r="C116" s="77" t="str">
        <x:f>IF('Entry Queue'!C116="","",PROPER(TRIM('Entry Queue'!C116)))</x:f>
        <x:v>Patel</x:v>
      </x:c>
      <x:c r="D116" s="77" t="str">
        <x:f>IF(OR(B116="",C116=""),"",B116&amp;" "&amp;C116)</x:f>
        <x:v>Daniel Patel</x:v>
      </x:c>
      <x:c r="E116" s="77" t="str">
        <x:f>IF('Entry Queue'!D116="","",PROPER(TRIM('Entry Queue'!D116)))</x:f>
        <x:v>Evergreen Kitchen</x:v>
      </x:c>
      <x:c r="F116" s="77" t="str">
        <x:f>IF('Entry Queue'!E116="","",LOWER(TRIM('Entry Queue'!E116)))</x:f>
        <x:v>daniel.patel1111@evergreenkitchen.test</x:v>
      </x:c>
      <x:c r="G116" s="77" t="str">
        <x:f>TRIM('Entry Queue'!F116)</x:f>
        <x:v>+1 (202) 555-1111</x:v>
      </x:c>
      <x:c r="H116" s="77" t="str">
        <x:f>IF('Entry Queue'!G116="","",PROPER(TRIM('Entry Queue'!G116)))</x:f>
        <x:v>Australia</x:v>
      </x:c>
      <x:c r="I116" s="77" t="str">
        <x:f>IF('Entry Queue'!H116="","",PROPER(TRIM('Entry Queue'!H116)))</x:f>
        <x:v>Central</x:v>
      </x:c>
      <x:c r="J116" s="77" t="str">
        <x:f>TRIM('Entry Queue'!I116)</x:f>
        <x:v>Referral</x:v>
      </x:c>
      <x:c r="K116" s="77" t="str">
        <x:f>TRIM('Entry Queue'!J116)</x:f>
        <x:v>Nonprofit</x:v>
      </x:c>
      <x:c r="L116" s="77" t="str">
        <x:f>TRIM('Entry Queue'!K116)</x:f>
        <x:v>Active</x:v>
      </x:c>
      <x:c r="M116" s="78" t="n">
        <x:f>'Entry Queue'!L116</x:f>
        <x:v>46116</x:v>
      </x:c>
      <x:c r="N116" s="77" t="str">
        <x:f>'Entry Queue'!M116</x:f>
        <x:v>L. Brooks</x:v>
      </x:c>
      <x:c r="O116" s="79" t="str">
        <x:f>'QC Checks'!I116</x:f>
        <x:v>Ready</x:v>
      </x:c>
    </x:row>
    <x:row r="117" ht="21" customHeight="1">
      <x:c r="A117" s="74" t="str">
        <x:f>'Entry Queue'!A117</x:f>
        <x:v>C-2113</x:v>
      </x:c>
      <x:c r="B117" s="74" t="str">
        <x:f>IF('Entry Queue'!B117="","",PROPER(TRIM('Entry Queue'!B117)))</x:f>
        <x:v>Freya</x:v>
      </x:c>
      <x:c r="C117" s="74" t="str">
        <x:f>IF('Entry Queue'!C117="","",PROPER(TRIM('Entry Queue'!C117)))</x:f>
        <x:v>Haddad</x:v>
      </x:c>
      <x:c r="D117" s="74" t="str">
        <x:f>IF(OR(B117="",C117=""),"",B117&amp;" "&amp;C117)</x:f>
        <x:v>Freya Haddad</x:v>
      </x:c>
      <x:c r="E117" s="74" t="str">
        <x:f>IF('Entry Queue'!D117="","",PROPER(TRIM('Entry Queue'!D117)))</x:f>
        <x:v>Cedar &amp; Finch</x:v>
      </x:c>
      <x:c r="F117" s="74" t="str">
        <x:f>IF('Entry Queue'!E117="","",LOWER(TRIM('Entry Queue'!E117)))</x:f>
        <x:v>freya.haddad1112@cedarfinch.test</x:v>
      </x:c>
      <x:c r="G117" s="74" t="str">
        <x:f>TRIM('Entry Queue'!F117)</x:f>
        <x:v>+1-415-555-1112</x:v>
      </x:c>
      <x:c r="H117" s="74" t="str">
        <x:f>IF('Entry Queue'!G117="","",PROPER(TRIM('Entry Queue'!G117)))</x:f>
        <x:v>Canada</x:v>
      </x:c>
      <x:c r="I117" s="74" t="str">
        <x:f>IF('Entry Queue'!H117="","",PROPER(TRIM('Entry Queue'!H117)))</x:f>
        <x:v>International</x:v>
      </x:c>
      <x:c r="J117" s="74" t="str">
        <x:f>TRIM('Entry Queue'!I117)</x:f>
        <x:v>Trade show</x:v>
      </x:c>
      <x:c r="K117" s="74" t="str">
        <x:f>TRIM('Entry Queue'!J117)</x:f>
        <x:v>Mid-market</x:v>
      </x:c>
      <x:c r="L117" s="74" t="str">
        <x:f>TRIM('Entry Queue'!K117)</x:f>
        <x:v>Prospect</x:v>
      </x:c>
      <x:c r="M117" s="75" t="n">
        <x:f>'Entry Queue'!L117</x:f>
        <x:v>46147</x:v>
      </x:c>
      <x:c r="N117" s="74" t="str">
        <x:f>'Entry Queue'!M117</x:f>
        <x:v>R. Shah</x:v>
      </x:c>
      <x:c r="O117" s="76" t="str">
        <x:f>'QC Checks'!I117</x:f>
        <x:v>Ready</x:v>
      </x:c>
    </x:row>
    <x:row r="118" ht="21" customHeight="1">
      <x:c r="A118" s="77" t="str">
        <x:f>'Entry Queue'!A118</x:f>
        <x:v>C-2114</x:v>
      </x:c>
      <x:c r="B118" s="77" t="str">
        <x:f>IF('Entry Queue'!B118="","",PROPER(TRIM('Entry Queue'!B118)))</x:f>
        <x:v>Theo</x:v>
      </x:c>
      <x:c r="C118" s="77" t="str">
        <x:f>IF('Entry Queue'!C118="","",PROPER(TRIM('Entry Queue'!C118)))</x:f>
        <x:v>Khan</x:v>
      </x:c>
      <x:c r="D118" s="77" t="str">
        <x:f>IF(OR(B118="",C118=""),"",B118&amp;" "&amp;C118)</x:f>
        <x:v>Theo Khan</x:v>
      </x:c>
      <x:c r="E118" s="77" t="str">
        <x:f>IF('Entry Queue'!D118="","",PROPER(TRIM('Entry Queue'!D118)))</x:f>
        <x:v>Fieldstone Home</x:v>
      </x:c>
      <x:c r="F118" s="77" t="str">
        <x:f>IF('Entry Queue'!E118="","",LOWER(TRIM('Entry Queue'!E118)))</x:f>
        <x:v>theo.khan1113@fieldstonehome.test</x:v>
      </x:c>
      <x:c r="G118" s="77" t="str">
        <x:f>TRIM('Entry Queue'!F118)</x:f>
        <x:v>202 555 1113</x:v>
      </x:c>
      <x:c r="H118" s="77" t="str">
        <x:f>IF('Entry Queue'!G118="","",PROPER(TRIM('Entry Queue'!G118)))</x:f>
        <x:v>India</x:v>
      </x:c>
      <x:c r="I118" s="77" t="str">
        <x:f>IF('Entry Queue'!H118="","",PROPER(TRIM('Entry Queue'!H118)))</x:f>
        <x:v>South</x:v>
      </x:c>
      <x:c r="J118" s="77" t="str">
        <x:f>TRIM('Entry Queue'!I118)</x:f>
        <x:v>Outbound</x:v>
      </x:c>
      <x:c r="K118" s="77" t="str">
        <x:f>TRIM('Entry Queue'!J118)</x:f>
        <x:v>Education</x:v>
      </x:c>
      <x:c r="L118" s="77" t="str">
        <x:f>TRIM('Entry Queue'!K118)</x:f>
        <x:v>Inactive</x:v>
      </x:c>
      <x:c r="M118" s="78" t="n">
        <x:f>'Entry Queue'!L118</x:f>
        <x:v>0</x:v>
      </x:c>
      <x:c r="N118" s="77" t="str">
        <x:f>'Entry Queue'!M118</x:f>
        <x:v>M. Rivera</x:v>
      </x:c>
      <x:c r="O118" s="79" t="str">
        <x:f>'QC Checks'!I118</x:f>
        <x:v>Missing required field</x:v>
      </x:c>
    </x:row>
    <x:row r="119" ht="21" customHeight="1">
      <x:c r="A119" s="74" t="str">
        <x:f>'Entry Queue'!A119</x:f>
        <x:v>C-2115</x:v>
      </x:c>
      <x:c r="B119" s="74" t="str">
        <x:f>IF('Entry Queue'!B119="","",PROPER(TRIM('Entry Queue'!B119)))</x:f>
        <x:v>Anika</x:v>
      </x:c>
      <x:c r="C119" s="74" t="str">
        <x:f>IF('Entry Queue'!C119="","",PROPER(TRIM('Entry Queue'!C119)))</x:f>
        <x:v>Mehta</x:v>
      </x:c>
      <x:c r="D119" s="74" t="str">
        <x:f>IF(OR(B119="",C119=""),"",B119&amp;" "&amp;C119)</x:f>
        <x:v>Anika Mehta</x:v>
      </x:c>
      <x:c r="E119" s="74" t="str">
        <x:f>IF('Entry Queue'!D119="","",PROPER(TRIM('Entry Queue'!D119)))</x:f>
        <x:v>Maple Row</x:v>
      </x:c>
      <x:c r="F119" s="74" t="str">
        <x:f>IF('Entry Queue'!E119="","",LOWER(TRIM('Entry Queue'!E119)))</x:f>
        <x:v>anika.mehta1114@maplerow.test</x:v>
      </x:c>
      <x:c r="G119" s="74" t="str">
        <x:f>TRIM('Entry Queue'!F119)</x:f>
        <x:v>+1 (202) 555-1114</x:v>
      </x:c>
      <x:c r="H119" s="74" t="str">
        <x:f>IF('Entry Queue'!G119="","",PROPER(TRIM('Entry Queue'!G119)))</x:f>
        <x:v>United Kingdom</x:v>
      </x:c>
      <x:c r="I119" s="74" t="str">
        <x:f>IF('Entry Queue'!H119="","",PROPER(TRIM('Entry Queue'!H119)))</x:f>
        <x:v>West</x:v>
      </x:c>
      <x:c r="J119" s="74" t="str">
        <x:f>TRIM('Entry Queue'!I119)</x:f>
        <x:v>Partner</x:v>
      </x:c>
      <x:c r="K119" s="74" t="str">
        <x:f>TRIM('Entry Queue'!J119)</x:f>
        <x:v>Enterprise</x:v>
      </x:c>
      <x:c r="L119" s="74" t="str">
        <x:f>TRIM('Entry Queue'!K119)</x:f>
        <x:v>Active</x:v>
      </x:c>
      <x:c r="M119" s="75" t="n">
        <x:f>'Entry Queue'!L119</x:f>
        <x:v>46210</x:v>
      </x:c>
      <x:c r="N119" s="74" t="str">
        <x:f>'Entry Queue'!M119</x:f>
        <x:v>K. Evans</x:v>
      </x:c>
      <x:c r="O119" s="76" t="str">
        <x:f>'QC Checks'!I119</x:f>
        <x:v>Ready</x:v>
      </x:c>
    </x:row>
    <x:row r="120" ht="21" customHeight="1">
      <x:c r="A120" s="77" t="str">
        <x:f>'Entry Queue'!A120</x:f>
        <x:v>C-2116</x:v>
      </x:c>
      <x:c r="B120" s="77" t="str">
        <x:f>IF('Entry Queue'!B120="","",PROPER(TRIM('Entry Queue'!B120)))</x:f>
        <x:v>Miles</x:v>
      </x:c>
      <x:c r="C120" s="77" t="str">
        <x:f>IF('Entry Queue'!C120="","",PROPER(TRIM('Entry Queue'!C120)))</x:f>
        <x:v>Bennett</x:v>
      </x:c>
      <x:c r="D120" s="77" t="str">
        <x:f>IF(OR(B120="",C120=""),"",B120&amp;" "&amp;C120)</x:f>
        <x:v>Miles Bennett</x:v>
      </x:c>
      <x:c r="E120" s="77" t="str">
        <x:f>IF('Entry Queue'!D120="","",PROPER(TRIM('Entry Queue'!D120)))</x:f>
        <x:v>Silver Birch Co</x:v>
      </x:c>
      <x:c r="F120" s="77" t="str">
        <x:f>IF('Entry Queue'!E120="","",LOWER(TRIM('Entry Queue'!E120)))</x:f>
        <x:v>miles.bennett1115@silverbirchco.test</x:v>
      </x:c>
      <x:c r="G120" s="77" t="str">
        <x:f>TRIM('Entry Queue'!F120)</x:f>
        <x:v>+1-415-555-1115</x:v>
      </x:c>
      <x:c r="H120" s="77" t="str">
        <x:f>IF('Entry Queue'!G120="","",PROPER(TRIM('Entry Queue'!G120)))</x:f>
        <x:v>United States</x:v>
      </x:c>
      <x:c r="I120" s="77" t="str">
        <x:f>IF('Entry Queue'!H120="","",PROPER(TRIM('Entry Queue'!H120)))</x:f>
        <x:v>North</x:v>
      </x:c>
      <x:c r="J120" s="77" t="str">
        <x:f>TRIM('Entry Queue'!I120)</x:f>
        <x:v>Website</x:v>
      </x:c>
      <x:c r="K120" s="77" t="str">
        <x:f>TRIM('Entry Queue'!J120)</x:f>
        <x:v>Small business</x:v>
      </x:c>
      <x:c r="L120" s="77" t="str">
        <x:f>TRIM('Entry Queue'!K120)</x:f>
        <x:v>Prospect</x:v>
      </x:c>
      <x:c r="M120" s="78" t="n">
        <x:f>'Entry Queue'!L120</x:f>
        <x:v>46242</x:v>
      </x:c>
      <x:c r="N120" s="77" t="str">
        <x:f>'Entry Queue'!M120</x:f>
        <x:v>A. Patel</x:v>
      </x:c>
      <x:c r="O120" s="79" t="str">
        <x:f>'QC Checks'!I120</x:f>
        <x:v>Ready</x:v>
      </x:c>
    </x:row>
    <x:row r="121" ht="21" customHeight="1">
      <x:c r="A121" s="74" t="str">
        <x:f>'Entry Queue'!A121</x:f>
        <x:v>C-2117</x:v>
      </x:c>
      <x:c r="B121" s="74" t="str">
        <x:f>IF('Entry Queue'!B121="","",PROPER(TRIM('Entry Queue'!B121)))</x:f>
        <x:v>Talia</x:v>
      </x:c>
      <x:c r="C121" s="74" t="str">
        <x:f>IF('Entry Queue'!C121="","",PROPER(TRIM('Entry Queue'!C121)))</x:f>
        <x:v>Nair</x:v>
      </x:c>
      <x:c r="D121" s="74" t="str">
        <x:f>IF(OR(B121="",C121=""),"",B121&amp;" "&amp;C121)</x:f>
        <x:v>Talia Nair</x:v>
      </x:c>
      <x:c r="E121" s="74" t="str">
        <x:f>IF('Entry Queue'!D121="","",PROPER(TRIM('Entry Queue'!D121)))</x:f>
        <x:v>East Bay Books</x:v>
      </x:c>
      <x:c r="F121" s="74" t="str">
        <x:f>IF('Entry Queue'!E121="","",LOWER(TRIM('Entry Queue'!E121)))</x:f>
        <x:v>talia.nair1116@eastbaybooks.test</x:v>
      </x:c>
      <x:c r="G121" s="74" t="str">
        <x:f>TRIM('Entry Queue'!F121)</x:f>
        <x:v>202 555 1116</x:v>
      </x:c>
      <x:c r="H121" s="74" t="str">
        <x:f>IF('Entry Queue'!G121="","",PROPER(TRIM('Entry Queue'!G121)))</x:f>
        <x:v>Australia</x:v>
      </x:c>
      <x:c r="I121" s="74" t="str">
        <x:f>IF('Entry Queue'!H121="","",PROPER(TRIM('Entry Queue'!H121)))</x:f>
        <x:v>Central</x:v>
      </x:c>
      <x:c r="J121" s="74" t="str">
        <x:f>TRIM('Entry Queue'!I121)</x:f>
        <x:v>Referral</x:v>
      </x:c>
      <x:c r="K121" s="74" t="str">
        <x:f>TRIM('Entry Queue'!J121)</x:f>
        <x:v>Nonprofit</x:v>
      </x:c>
      <x:c r="L121" s="74" t="str">
        <x:f>TRIM('Entry Queue'!K121)</x:f>
        <x:v>Inactive</x:v>
      </x:c>
      <x:c r="M121" s="75" t="n">
        <x:f>'Entry Queue'!L121</x:f>
        <x:v>46274</x:v>
      </x:c>
      <x:c r="N121" s="74" t="str">
        <x:f>'Entry Queue'!M121</x:f>
        <x:v>L. Brooks</x:v>
      </x:c>
      <x:c r="O121" s="76" t="str">
        <x:f>'QC Checks'!I121</x:f>
        <x:v>Ready</x:v>
      </x:c>
    </x:row>
    <x:row r="122" ht="21" customHeight="1">
      <x:c r="A122" s="77" t="str">
        <x:f>'Entry Queue'!A122</x:f>
        <x:v>C-2118</x:v>
      </x:c>
      <x:c r="B122" s="77" t="str">
        <x:f>IF('Entry Queue'!B122="","",PROPER(TRIM('Entry Queue'!B122)))</x:f>
        <x:v>Ravi</x:v>
      </x:c>
      <x:c r="C122" s="77" t="str">
        <x:f>IF('Entry Queue'!C122="","",PROPER(TRIM('Entry Queue'!C122)))</x:f>
        <x:v>Kim</x:v>
      </x:c>
      <x:c r="D122" s="77" t="str">
        <x:f>IF(OR(B122="",C122=""),"",B122&amp;" "&amp;C122)</x:f>
        <x:v>Ravi Kim</x:v>
      </x:c>
      <x:c r="E122" s="77" t="str">
        <x:f>IF('Entry Queue'!D122="","",PROPER(TRIM('Entry Queue'!D122)))</x:f>
        <x:v>Tandem Outfitters</x:v>
      </x:c>
      <x:c r="F122" s="77" t="str">
        <x:f>IF('Entry Queue'!E122="","",LOWER(TRIM('Entry Queue'!E122)))</x:f>
        <x:v>ravi.kim1117@tandemoutfitters.test</x:v>
      </x:c>
      <x:c r="G122" s="77" t="str">
        <x:f>TRIM('Entry Queue'!F122)</x:f>
        <x:v>+1 (202) 555-1117</x:v>
      </x:c>
      <x:c r="H122" s="77" t="str">
        <x:f>IF('Entry Queue'!G122="","",PROPER(TRIM('Entry Queue'!G122)))</x:f>
        <x:v>Canada</x:v>
      </x:c>
      <x:c r="I122" s="77" t="str">
        <x:f>IF('Entry Queue'!H122="","",PROPER(TRIM('Entry Queue'!H122)))</x:f>
        <x:v>International</x:v>
      </x:c>
      <x:c r="J122" s="77" t="str">
        <x:f>TRIM('Entry Queue'!I122)</x:f>
        <x:v>Trade show</x:v>
      </x:c>
      <x:c r="K122" s="77" t="str">
        <x:f>TRIM('Entry Queue'!J122)</x:f>
        <x:v>Mid-market</x:v>
      </x:c>
      <x:c r="L122" s="77" t="str">
        <x:f>TRIM('Entry Queue'!K122)</x:f>
        <x:v>Active</x:v>
      </x:c>
      <x:c r="M122" s="78" t="n">
        <x:f>'Entry Queue'!L122</x:f>
        <x:v>46032</x:v>
      </x:c>
      <x:c r="N122" s="77" t="str">
        <x:f>'Entry Queue'!M122</x:f>
        <x:v>R. Shah</x:v>
      </x:c>
      <x:c r="O122" s="79" t="str">
        <x:f>'QC Checks'!I122</x:f>
        <x:v>Ready</x:v>
      </x:c>
    </x:row>
    <x:row r="123" ht="21" customHeight="1">
      <x:c r="A123" s="74" t="str">
        <x:f>'Entry Queue'!A123</x:f>
        <x:v>C-2119</x:v>
      </x:c>
      <x:c r="B123" s="74" t="str">
        <x:f>IF('Entry Queue'!B123="","",PROPER(TRIM('Entry Queue'!B123)))</x:f>
        <x:v>Elena</x:v>
      </x:c>
      <x:c r="C123" s="74" t="str">
        <x:f>IF('Entry Queue'!C123="","",PROPER(TRIM('Entry Queue'!C123)))</x:f>
        <x:v>Brown</x:v>
      </x:c>
      <x:c r="D123" s="74" t="str">
        <x:f>IF(OR(B123="",C123=""),"",B123&amp;" "&amp;C123)</x:f>
        <x:v>Elena Brown</x:v>
      </x:c>
      <x:c r="E123" s="74" t="str">
        <x:f>IF('Entry Queue'!D123="","",PROPER(TRIM('Entry Queue'!D123)))</x:f>
        <x:v>Willow &amp; West</x:v>
      </x:c>
      <x:c r="F123" s="74" t="str">
        <x:f>IF('Entry Queue'!E123="","",LOWER(TRIM('Entry Queue'!E123)))</x:f>
        <x:v>elena.brown1118@willowwest.test</x:v>
      </x:c>
      <x:c r="G123" s="74" t="str">
        <x:f>TRIM('Entry Queue'!F123)</x:f>
        <x:v>+1-415-555-1118</x:v>
      </x:c>
      <x:c r="H123" s="74" t="str">
        <x:f>IF('Entry Queue'!G123="","",PROPER(TRIM('Entry Queue'!G123)))</x:f>
        <x:v>India</x:v>
      </x:c>
      <x:c r="I123" s="74" t="str">
        <x:f>IF('Entry Queue'!H123="","",PROPER(TRIM('Entry Queue'!H123)))</x:f>
        <x:v>South</x:v>
      </x:c>
      <x:c r="J123" s="74" t="str">
        <x:f>TRIM('Entry Queue'!I123)</x:f>
        <x:v>Outbound</x:v>
      </x:c>
      <x:c r="K123" s="74" t="str">
        <x:f>TRIM('Entry Queue'!J123)</x:f>
        <x:v>Education</x:v>
      </x:c>
      <x:c r="L123" s="74" t="str">
        <x:f>TRIM('Entry Queue'!K123)</x:f>
        <x:v>Prospect</x:v>
      </x:c>
      <x:c r="M123" s="75" t="n">
        <x:f>'Entry Queue'!L123</x:f>
        <x:v>46064</x:v>
      </x:c>
      <x:c r="N123" s="74" t="str">
        <x:f>'Entry Queue'!M123</x:f>
        <x:v>M. Rivera</x:v>
      </x:c>
      <x:c r="O123" s="76" t="str">
        <x:f>'QC Checks'!I123</x:f>
        <x:v>Ready</x:v>
      </x:c>
    </x:row>
    <x:row r="124" ht="21" customHeight="1">
      <x:c r="A124" s="77" t="str">
        <x:f>'Entry Queue'!A124</x:f>
        <x:v>C-2120</x:v>
      </x:c>
      <x:c r="B124" s="77" t="str">
        <x:f>IF('Entry Queue'!B124="","",PROPER(TRIM('Entry Queue'!B124)))</x:f>
        <x:v>Sam</x:v>
      </x:c>
      <x:c r="C124" s="77" t="str">
        <x:f>IF('Entry Queue'!C124="","",PROPER(TRIM('Entry Queue'!C124)))</x:f>
        <x:v>Shah</x:v>
      </x:c>
      <x:c r="D124" s="77" t="str">
        <x:f>IF(OR(B124="",C124=""),"",B124&amp;" "&amp;C124)</x:f>
        <x:v>Sam Shah</x:v>
      </x:c>
      <x:c r="E124" s="77" t="str">
        <x:f>IF('Entry Queue'!D124="","",PROPER(TRIM('Entry Queue'!D124)))</x:f>
        <x:v>Solstice Supply</x:v>
      </x:c>
      <x:c r="F124" s="77" t="str">
        <x:f>IF('Entry Queue'!E124="","",LOWER(TRIM('Entry Queue'!E124)))</x:f>
        <x:v>sam.shah1119@solsticesupply.test</x:v>
      </x:c>
      <x:c r="G124" s="77" t="str">
        <x:f>TRIM('Entry Queue'!F124)</x:f>
        <x:v>202 555 1119</x:v>
      </x:c>
      <x:c r="H124" s="77" t="str">
        <x:f>IF('Entry Queue'!G124="","",PROPER(TRIM('Entry Queue'!G124)))</x:f>
        <x:v>United Kingdom</x:v>
      </x:c>
      <x:c r="I124" s="77" t="str">
        <x:f>IF('Entry Queue'!H124="","",PROPER(TRIM('Entry Queue'!H124)))</x:f>
        <x:v>West</x:v>
      </x:c>
      <x:c r="J124" s="77" t="str">
        <x:f>TRIM('Entry Queue'!I124)</x:f>
        <x:v>Partner</x:v>
      </x:c>
      <x:c r="K124" s="77" t="str">
        <x:f>TRIM('Entry Queue'!J124)</x:f>
        <x:v>Enterprise</x:v>
      </x:c>
      <x:c r="L124" s="77" t="str">
        <x:f>TRIM('Entry Queue'!K124)</x:f>
        <x:v>Inactive</x:v>
      </x:c>
      <x:c r="M124" s="78" t="n">
        <x:f>'Entry Queue'!L124</x:f>
        <x:v>46093</x:v>
      </x:c>
      <x:c r="N124" s="77" t="str">
        <x:f>'Entry Queue'!M124</x:f>
        <x:v>K. Evans</x:v>
      </x:c>
      <x:c r="O124" s="79" t="str">
        <x:f>'QC Checks'!I124</x:f>
        <x:v>Ready</x:v>
      </x:c>
    </x:row>
  </x:sheetData>
  <x:conditionalFormatting sqref="O5:O124">
    <x:cfRule type="containsText" dxfId="0" priority="1" operator="containsText" text="Ready"/>
    <x:cfRule type="containsText" dxfId="1" priority="2" operator="containsText" text="Eligible"/>
    <x:cfRule type="containsText" dxfId="2" priority="3" operator="containsText" text="Mismatch"/>
    <x:cfRule type="containsText" dxfId="3" priority="4" operator="containsText" text="Duplicate"/>
    <x:cfRule type="containsText" dxfId="4" priority="5" operator="containsText" text="Check"/>
    <x:cfRule type="containsText" dxfId="5" priority="6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838c3e2b65fa45c9"/>
  </x:tableParts>
</x:worksheet>
</file>

<file path=xl/worksheets/sheet4.xml><?xml version="1.0" encoding="utf-8"?>
<x:worksheet xmlns:x="http://schemas.openxmlformats.org/spreadsheetml/2006/main">
  <x:sheetPr>
    <x:tabColor rgb="FF6956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9" hidden="0" customWidth="1"/>
    <x:col min="4" max="4" width="23" hidden="0" customWidth="1"/>
    <x:col min="5" max="5" width="21" hidden="0" customWidth="1"/>
    <x:col min="6" max="6" width="22" hidden="0" customWidth="1"/>
    <x:col min="7" max="7" width="22" hidden="0" customWidth="1"/>
    <x:col min="8" max="8" width="25" hidden="0" customWidth="1"/>
    <x:col min="9" max="9" width="28" hidden="0" customWidth="1"/>
  </x:cols>
  <x:sheetData>
    <x:row r="1" ht="27" customHeight="1">
      <x:c r="A1" s="80" t="str">
        <x:v>Record-level quality checks</x:v>
      </x:c>
      <x:c r="B1" s="80"/>
      <x:c r="C1" s="80"/>
      <x:c r="D1" s="80"/>
      <x:c r="E1" s="80"/>
      <x:c r="F1" s="80"/>
      <x:c r="G1" s="80"/>
      <x:c r="H1" s="80"/>
      <x:c r="I1" s="80"/>
    </x:row>
    <x:row r="2" ht="24" customHeight="1">
      <x:c r="A2" s="16" t="str">
        <x:v>Each check is independent. Fix the source field, then confirm the row passes before import.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81" t="str">
        <x:v>Record ID</x:v>
      </x:c>
      <x:c r="B4" s="82" t="str">
        <x:v>Required Fields</x:v>
      </x:c>
      <x:c r="C4" s="82" t="str">
        <x:v>Email Format</x:v>
      </x:c>
      <x:c r="D4" s="82" t="str">
        <x:v>Duplicate ID</x:v>
      </x:c>
      <x:c r="E4" s="82" t="str">
        <x:v>Duplicate Email</x:v>
      </x:c>
      <x:c r="F4" s="82" t="str">
        <x:v>Phone Format</x:v>
      </x:c>
      <x:c r="G4" s="82" t="str">
        <x:v>Duplicate Phone</x:v>
      </x:c>
      <x:c r="H4" s="82" t="str">
        <x:v>Reference Values</x:v>
      </x:c>
      <x:c r="I4" s="83" t="str">
        <x:v>Overall Status</x:v>
      </x:c>
    </x:row>
    <x:row r="5" ht="21" customHeight="1">
      <x:c r="A5" s="84" t="str">
        <x:f>'Import Ready'!A5</x:f>
        <x:v>C-2001</x:v>
      </x:c>
      <x:c r="B5" s="85" t="str">
        <x:f>IF(OR('Import Ready'!A5="",'Import Ready'!B5="",'Import Ready'!C5="",'Import Ready'!E5="",'Import Ready'!F5="",'Import Ready'!G5="",'Import Ready'!H5="",'Import Ready'!I5="",'Import Ready'!J5="",'Import Ready'!K5="",'Import Ready'!L5="",'Import Ready'!M5="",'Entry Queue'!N5=""),"Missing required field","OK")</x:f>
        <x:v>OK</x:v>
      </x:c>
      <x:c r="C5" s="85" t="str">
        <x:f>IF('Import Ready'!F5="","Not checked",IF(OR(IFERROR(FIND("@",'Import Ready'!F5),0)=0,IFERROR(FIND(".",'Import Ready'!F5,FIND("@",'Import Ready'!F5)+2),0)=0),"Check email","OK"))</x:f>
        <x:v>OK</x:v>
      </x:c>
      <x:c r="D5" s="85" t="str">
        <x:f>IF(A5="","Not checked",IF(COUNTIF($A$5:$A$124,A5)&gt;1,"Duplicate record ID","OK"))</x:f>
        <x:v>Duplicate record ID</x:v>
      </x:c>
      <x:c r="E5" s="85" t="str">
        <x:f>IF('Import Ready'!F5="","Not checked",IF(COUNTIF('Import Ready'!$F$5:$F$124,'Import Ready'!F5)&gt;1,"Duplicate email","OK"))</x:f>
        <x:v>Duplicate email</x:v>
      </x:c>
      <x:c r="F5" s="85" t="str">
        <x:f>IF('Import Ready'!G5="","Not checked",IF(OR(LEN('Import Ready'!G5)&lt;10,LEN('Import Ready'!G5)&gt;22),"Check phone length","OK"))</x:f>
        <x:v>OK</x:v>
      </x:c>
      <x:c r="G5" s="85" t="str">
        <x:f>IF('Import Ready'!G5="","Not checked",IF(COUNTIF('Import Ready'!$G$5:$G$124,'Import Ready'!G5)&gt;1,"Duplicate phone","OK"))</x:f>
        <x:v>Duplicate phone</x:v>
      </x:c>
      <x:c r="H5" s="85" t="str">
        <x:f>IF(COUNTIF('Field Rules'!$F$5:$F$9,'Import Ready'!H5)=0,"Check country",IF(COUNTIF('Field Rules'!$G$5:$G$9,'Import Ready'!I5)=0,"Check territory",IF(COUNTIF('Field Rules'!$H$5:$H$9,'Import Ready'!J5)=0,"Check lead source",IF(COUNTIF('Field Rules'!$I$5:$I$9,'Import Ready'!K5)=0,"Check segment",IF(COUNTIF('Field Rules'!$J$5:$J$7,'Import Ready'!L5)=0,"Check account status","OK")))))</x:f>
        <x:v>OK</x:v>
      </x:c>
      <x:c r="I5" s="86" t="str">
        <x:f>IF(B5&lt;&gt;"OK",B5,IF(D5&lt;&gt;"OK",D5,IF(C5&lt;&gt;"OK",C5,IF(E5&lt;&gt;"OK",E5,IF(F5&lt;&gt;"OK",F5,IF(G5&lt;&gt;"OK",G5,IF(H5&lt;&gt;"OK",H5,"Ready")))))))</x:f>
        <x:v>Duplicate record ID</x:v>
      </x:c>
    </x:row>
    <x:row r="6" ht="21" customHeight="1">
      <x:c r="A6" s="87" t="str">
        <x:f>'Import Ready'!A6</x:f>
        <x:v>C-2002</x:v>
      </x:c>
      <x:c r="B6" s="88" t="str">
        <x:f>IF(OR('Import Ready'!A6="",'Import Ready'!B6="",'Import Ready'!C6="",'Import Ready'!E6="",'Import Ready'!F6="",'Import Ready'!G6="",'Import Ready'!H6="",'Import Ready'!I6="",'Import Ready'!J6="",'Import Ready'!K6="",'Import Ready'!L6="",'Import Ready'!M6="",'Entry Queue'!N6=""),"Missing required field","OK")</x:f>
        <x:v>OK</x:v>
      </x:c>
      <x:c r="C6" s="88" t="str">
        <x:f>IF('Import Ready'!F6="","Not checked",IF(OR(IFERROR(FIND("@",'Import Ready'!F6),0)=0,IFERROR(FIND(".",'Import Ready'!F6,FIND("@",'Import Ready'!F6)+2),0)=0),"Check email","OK"))</x:f>
        <x:v>OK</x:v>
      </x:c>
      <x:c r="D6" s="88" t="str">
        <x:f>IF(A6="","Not checked",IF(COUNTIF($A$5:$A$124,A6)&gt;1,"Duplicate record ID","OK"))</x:f>
        <x:v>OK</x:v>
      </x:c>
      <x:c r="E6" s="88" t="str">
        <x:f>IF('Import Ready'!F6="","Not checked",IF(COUNTIF('Import Ready'!$F$5:$F$124,'Import Ready'!F6)&gt;1,"Duplicate email","OK"))</x:f>
        <x:v>OK</x:v>
      </x:c>
      <x:c r="F6" s="88" t="str">
        <x:f>IF('Import Ready'!G6="","Not checked",IF(OR(LEN('Import Ready'!G6)&lt;10,LEN('Import Ready'!G6)&gt;22),"Check phone length","OK"))</x:f>
        <x:v>OK</x:v>
      </x:c>
      <x:c r="G6" s="88" t="str">
        <x:f>IF('Import Ready'!G6="","Not checked",IF(COUNTIF('Import Ready'!$G$5:$G$124,'Import Ready'!G6)&gt;1,"Duplicate phone","OK"))</x:f>
        <x:v>OK</x:v>
      </x:c>
      <x:c r="H6" s="88" t="str">
        <x:f>IF(COUNTIF('Field Rules'!$F$5:$F$9,'Import Ready'!H6)=0,"Check country",IF(COUNTIF('Field Rules'!$G$5:$G$9,'Import Ready'!I6)=0,"Check territory",IF(COUNTIF('Field Rules'!$H$5:$H$9,'Import Ready'!J6)=0,"Check lead source",IF(COUNTIF('Field Rules'!$I$5:$I$9,'Import Ready'!K6)=0,"Check segment",IF(COUNTIF('Field Rules'!$J$5:$J$7,'Import Ready'!L6)=0,"Check account status","OK")))))</x:f>
        <x:v>OK</x:v>
      </x:c>
      <x:c r="I6" s="89" t="str">
        <x:f>IF(B6&lt;&gt;"OK",B6,IF(D6&lt;&gt;"OK",D6,IF(C6&lt;&gt;"OK",C6,IF(E6&lt;&gt;"OK",E6,IF(F6&lt;&gt;"OK",F6,IF(G6&lt;&gt;"OK",G6,IF(H6&lt;&gt;"OK",H6,"Ready")))))))</x:f>
        <x:v>Ready</x:v>
      </x:c>
    </x:row>
    <x:row r="7" ht="21" customHeight="1">
      <x:c r="A7" s="84" t="str">
        <x:f>'Import Ready'!A7</x:f>
        <x:v>C-2003</x:v>
      </x:c>
      <x:c r="B7" s="85" t="str">
        <x:f>IF(OR('Import Ready'!A7="",'Import Ready'!B7="",'Import Ready'!C7="",'Import Ready'!E7="",'Import Ready'!F7="",'Import Ready'!G7="",'Import Ready'!H7="",'Import Ready'!I7="",'Import Ready'!J7="",'Import Ready'!K7="",'Import Ready'!L7="",'Import Ready'!M7="",'Entry Queue'!N7=""),"Missing required field","OK")</x:f>
        <x:v>OK</x:v>
      </x:c>
      <x:c r="C7" s="85" t="str">
        <x:f>IF('Import Ready'!F7="","Not checked",IF(OR(IFERROR(FIND("@",'Import Ready'!F7),0)=0,IFERROR(FIND(".",'Import Ready'!F7,FIND("@",'Import Ready'!F7)+2),0)=0),"Check email","OK"))</x:f>
        <x:v>OK</x:v>
      </x:c>
      <x:c r="D7" s="85" t="str">
        <x:f>IF(A7="","Not checked",IF(COUNTIF($A$5:$A$124,A7)&gt;1,"Duplicate record ID","OK"))</x:f>
        <x:v>OK</x:v>
      </x:c>
      <x:c r="E7" s="85" t="str">
        <x:f>IF('Import Ready'!F7="","Not checked",IF(COUNTIF('Import Ready'!$F$5:$F$124,'Import Ready'!F7)&gt;1,"Duplicate email","OK"))</x:f>
        <x:v>OK</x:v>
      </x:c>
      <x:c r="F7" s="85" t="str">
        <x:f>IF('Import Ready'!G7="","Not checked",IF(OR(LEN('Import Ready'!G7)&lt;10,LEN('Import Ready'!G7)&gt;22),"Check phone length","OK"))</x:f>
        <x:v>OK</x:v>
      </x:c>
      <x:c r="G7" s="85" t="str">
        <x:f>IF('Import Ready'!G7="","Not checked",IF(COUNTIF('Import Ready'!$G$5:$G$124,'Import Ready'!G7)&gt;1,"Duplicate phone","OK"))</x:f>
        <x:v>OK</x:v>
      </x:c>
      <x:c r="H7" s="85" t="str">
        <x:f>IF(COUNTIF('Field Rules'!$F$5:$F$9,'Import Ready'!H7)=0,"Check country",IF(COUNTIF('Field Rules'!$G$5:$G$9,'Import Ready'!I7)=0,"Check territory",IF(COUNTIF('Field Rules'!$H$5:$H$9,'Import Ready'!J7)=0,"Check lead source",IF(COUNTIF('Field Rules'!$I$5:$I$9,'Import Ready'!K7)=0,"Check segment",IF(COUNTIF('Field Rules'!$J$5:$J$7,'Import Ready'!L7)=0,"Check account status","OK")))))</x:f>
        <x:v>OK</x:v>
      </x:c>
      <x:c r="I7" s="86" t="str">
        <x:f>IF(B7&lt;&gt;"OK",B7,IF(D7&lt;&gt;"OK",D7,IF(C7&lt;&gt;"OK",C7,IF(E7&lt;&gt;"OK",E7,IF(F7&lt;&gt;"OK",F7,IF(G7&lt;&gt;"OK",G7,IF(H7&lt;&gt;"OK",H7,"Ready")))))))</x:f>
        <x:v>Ready</x:v>
      </x:c>
    </x:row>
    <x:row r="8" ht="21" customHeight="1">
      <x:c r="A8" s="87" t="str">
        <x:f>'Import Ready'!A8</x:f>
        <x:v>C-2004</x:v>
      </x:c>
      <x:c r="B8" s="88" t="str">
        <x:f>IF(OR('Import Ready'!A8="",'Import Ready'!B8="",'Import Ready'!C8="",'Import Ready'!E8="",'Import Ready'!F8="",'Import Ready'!G8="",'Import Ready'!H8="",'Import Ready'!I8="",'Import Ready'!J8="",'Import Ready'!K8="",'Import Ready'!L8="",'Import Ready'!M8="",'Entry Queue'!N8=""),"Missing required field","OK")</x:f>
        <x:v>OK</x:v>
      </x:c>
      <x:c r="C8" s="88" t="str">
        <x:f>IF('Import Ready'!F8="","Not checked",IF(OR(IFERROR(FIND("@",'Import Ready'!F8),0)=0,IFERROR(FIND(".",'Import Ready'!F8,FIND("@",'Import Ready'!F8)+2),0)=0),"Check email","OK"))</x:f>
        <x:v>OK</x:v>
      </x:c>
      <x:c r="D8" s="88" t="str">
        <x:f>IF(A8="","Not checked",IF(COUNTIF($A$5:$A$124,A8)&gt;1,"Duplicate record ID","OK"))</x:f>
        <x:v>OK</x:v>
      </x:c>
      <x:c r="E8" s="88" t="str">
        <x:f>IF('Import Ready'!F8="","Not checked",IF(COUNTIF('Import Ready'!$F$5:$F$124,'Import Ready'!F8)&gt;1,"Duplicate email","OK"))</x:f>
        <x:v>OK</x:v>
      </x:c>
      <x:c r="F8" s="88" t="str">
        <x:f>IF('Import Ready'!G8="","Not checked",IF(OR(LEN('Import Ready'!G8)&lt;10,LEN('Import Ready'!G8)&gt;22),"Check phone length","OK"))</x:f>
        <x:v>OK</x:v>
      </x:c>
      <x:c r="G8" s="88" t="str">
        <x:f>IF('Import Ready'!G8="","Not checked",IF(COUNTIF('Import Ready'!$G$5:$G$124,'Import Ready'!G8)&gt;1,"Duplicate phone","OK"))</x:f>
        <x:v>OK</x:v>
      </x:c>
      <x:c r="H8" s="88" t="str">
        <x:f>IF(COUNTIF('Field Rules'!$F$5:$F$9,'Import Ready'!H8)=0,"Check country",IF(COUNTIF('Field Rules'!$G$5:$G$9,'Import Ready'!I8)=0,"Check territory",IF(COUNTIF('Field Rules'!$H$5:$H$9,'Import Ready'!J8)=0,"Check lead source",IF(COUNTIF('Field Rules'!$I$5:$I$9,'Import Ready'!K8)=0,"Check segment",IF(COUNTIF('Field Rules'!$J$5:$J$7,'Import Ready'!L8)=0,"Check account status","OK")))))</x:f>
        <x:v>OK</x:v>
      </x:c>
      <x:c r="I8" s="89" t="str">
        <x:f>IF(B8&lt;&gt;"OK",B8,IF(D8&lt;&gt;"OK",D8,IF(C8&lt;&gt;"OK",C8,IF(E8&lt;&gt;"OK",E8,IF(F8&lt;&gt;"OK",F8,IF(G8&lt;&gt;"OK",G8,IF(H8&lt;&gt;"OK",H8,"Ready")))))))</x:f>
        <x:v>Ready</x:v>
      </x:c>
    </x:row>
    <x:row r="9" ht="21" customHeight="1">
      <x:c r="A9" s="84" t="str">
        <x:f>'Import Ready'!A9</x:f>
        <x:v>C-2005</x:v>
      </x:c>
      <x:c r="B9" s="85" t="str">
        <x:f>IF(OR('Import Ready'!A9="",'Import Ready'!B9="",'Import Ready'!C9="",'Import Ready'!E9="",'Import Ready'!F9="",'Import Ready'!G9="",'Import Ready'!H9="",'Import Ready'!I9="",'Import Ready'!J9="",'Import Ready'!K9="",'Import Ready'!L9="",'Import Ready'!M9="",'Entry Queue'!N9=""),"Missing required field","OK")</x:f>
        <x:v>OK</x:v>
      </x:c>
      <x:c r="C9" s="85" t="str">
        <x:f>IF('Import Ready'!F9="","Not checked",IF(OR(IFERROR(FIND("@",'Import Ready'!F9),0)=0,IFERROR(FIND(".",'Import Ready'!F9,FIND("@",'Import Ready'!F9)+2),0)=0),"Check email","OK"))</x:f>
        <x:v>OK</x:v>
      </x:c>
      <x:c r="D9" s="85" t="str">
        <x:f>IF(A9="","Not checked",IF(COUNTIF($A$5:$A$124,A9)&gt;1,"Duplicate record ID","OK"))</x:f>
        <x:v>OK</x:v>
      </x:c>
      <x:c r="E9" s="85" t="str">
        <x:f>IF('Import Ready'!F9="","Not checked",IF(COUNTIF('Import Ready'!$F$5:$F$124,'Import Ready'!F9)&gt;1,"Duplicate email","OK"))</x:f>
        <x:v>OK</x:v>
      </x:c>
      <x:c r="F9" s="85" t="str">
        <x:f>IF('Import Ready'!G9="","Not checked",IF(OR(LEN('Import Ready'!G9)&lt;10,LEN('Import Ready'!G9)&gt;22),"Check phone length","OK"))</x:f>
        <x:v>OK</x:v>
      </x:c>
      <x:c r="G9" s="85" t="str">
        <x:f>IF('Import Ready'!G9="","Not checked",IF(COUNTIF('Import Ready'!$G$5:$G$124,'Import Ready'!G9)&gt;1,"Duplicate phone","OK"))</x:f>
        <x:v>OK</x:v>
      </x:c>
      <x:c r="H9" s="85" t="str">
        <x:f>IF(COUNTIF('Field Rules'!$F$5:$F$9,'Import Ready'!H9)=0,"Check country",IF(COUNTIF('Field Rules'!$G$5:$G$9,'Import Ready'!I9)=0,"Check territory",IF(COUNTIF('Field Rules'!$H$5:$H$9,'Import Ready'!J9)=0,"Check lead source",IF(COUNTIF('Field Rules'!$I$5:$I$9,'Import Ready'!K9)=0,"Check segment",IF(COUNTIF('Field Rules'!$J$5:$J$7,'Import Ready'!L9)=0,"Check account status","OK")))))</x:f>
        <x:v>OK</x:v>
      </x:c>
      <x:c r="I9" s="86" t="str">
        <x:f>IF(B9&lt;&gt;"OK",B9,IF(D9&lt;&gt;"OK",D9,IF(C9&lt;&gt;"OK",C9,IF(E9&lt;&gt;"OK",E9,IF(F9&lt;&gt;"OK",F9,IF(G9&lt;&gt;"OK",G9,IF(H9&lt;&gt;"OK",H9,"Ready")))))))</x:f>
        <x:v>Ready</x:v>
      </x:c>
    </x:row>
    <x:row r="10" ht="21" customHeight="1">
      <x:c r="A10" s="87" t="str">
        <x:f>'Import Ready'!A10</x:f>
        <x:v>C-2006</x:v>
      </x:c>
      <x:c r="B10" s="88" t="str">
        <x:f>IF(OR('Import Ready'!A10="",'Import Ready'!B10="",'Import Ready'!C10="",'Import Ready'!E10="",'Import Ready'!F10="",'Import Ready'!G10="",'Import Ready'!H10="",'Import Ready'!I10="",'Import Ready'!J10="",'Import Ready'!K10="",'Import Ready'!L10="",'Import Ready'!M10="",'Entry Queue'!N10=""),"Missing required field","OK")</x:f>
        <x:v>OK</x:v>
      </x:c>
      <x:c r="C10" s="88" t="str">
        <x:f>IF('Import Ready'!F10="","Not checked",IF(OR(IFERROR(FIND("@",'Import Ready'!F10),0)=0,IFERROR(FIND(".",'Import Ready'!F10,FIND("@",'Import Ready'!F10)+2),0)=0),"Check email","OK"))</x:f>
        <x:v>OK</x:v>
      </x:c>
      <x:c r="D10" s="88" t="str">
        <x:f>IF(A10="","Not checked",IF(COUNTIF($A$5:$A$124,A10)&gt;1,"Duplicate record ID","OK"))</x:f>
        <x:v>OK</x:v>
      </x:c>
      <x:c r="E10" s="88" t="str">
        <x:f>IF('Import Ready'!F10="","Not checked",IF(COUNTIF('Import Ready'!$F$5:$F$124,'Import Ready'!F10)&gt;1,"Duplicate email","OK"))</x:f>
        <x:v>Duplicate email</x:v>
      </x:c>
      <x:c r="F10" s="88" t="str">
        <x:f>IF('Import Ready'!G10="","Not checked",IF(OR(LEN('Import Ready'!G10)&lt;10,LEN('Import Ready'!G10)&gt;22),"Check phone length","OK"))</x:f>
        <x:v>OK</x:v>
      </x:c>
      <x:c r="G10" s="88" t="str">
        <x:f>IF('Import Ready'!G10="","Not checked",IF(COUNTIF('Import Ready'!$G$5:$G$124,'Import Ready'!G10)&gt;1,"Duplicate phone","OK"))</x:f>
        <x:v>OK</x:v>
      </x:c>
      <x:c r="H10" s="88" t="str">
        <x:f>IF(COUNTIF('Field Rules'!$F$5:$F$9,'Import Ready'!H10)=0,"Check country",IF(COUNTIF('Field Rules'!$G$5:$G$9,'Import Ready'!I10)=0,"Check territory",IF(COUNTIF('Field Rules'!$H$5:$H$9,'Import Ready'!J10)=0,"Check lead source",IF(COUNTIF('Field Rules'!$I$5:$I$9,'Import Ready'!K10)=0,"Check segment",IF(COUNTIF('Field Rules'!$J$5:$J$7,'Import Ready'!L10)=0,"Check account status","OK")))))</x:f>
        <x:v>OK</x:v>
      </x:c>
      <x:c r="I10" s="89" t="str">
        <x:f>IF(B10&lt;&gt;"OK",B10,IF(D10&lt;&gt;"OK",D10,IF(C10&lt;&gt;"OK",C10,IF(E10&lt;&gt;"OK",E10,IF(F10&lt;&gt;"OK",F10,IF(G10&lt;&gt;"OK",G10,IF(H10&lt;&gt;"OK",H10,"Ready")))))))</x:f>
        <x:v>Duplicate email</x:v>
      </x:c>
    </x:row>
    <x:row r="11" ht="21" customHeight="1">
      <x:c r="A11" s="84" t="str">
        <x:f>'Import Ready'!A11</x:f>
        <x:v>C-2007</x:v>
      </x:c>
      <x:c r="B11" s="85" t="str">
        <x:f>IF(OR('Import Ready'!A11="",'Import Ready'!B11="",'Import Ready'!C11="",'Import Ready'!E11="",'Import Ready'!F11="",'Import Ready'!G11="",'Import Ready'!H11="",'Import Ready'!I11="",'Import Ready'!J11="",'Import Ready'!K11="",'Import Ready'!L11="",'Import Ready'!M11="",'Entry Queue'!N11=""),"Missing required field","OK")</x:f>
        <x:v>OK</x:v>
      </x:c>
      <x:c r="C11" s="85" t="str">
        <x:f>IF('Import Ready'!F11="","Not checked",IF(OR(IFERROR(FIND("@",'Import Ready'!F11),0)=0,IFERROR(FIND(".",'Import Ready'!F11,FIND("@",'Import Ready'!F11)+2),0)=0),"Check email","OK"))</x:f>
        <x:v>OK</x:v>
      </x:c>
      <x:c r="D11" s="85" t="str">
        <x:f>IF(A11="","Not checked",IF(COUNTIF($A$5:$A$124,A11)&gt;1,"Duplicate record ID","OK"))</x:f>
        <x:v>OK</x:v>
      </x:c>
      <x:c r="E11" s="85" t="str">
        <x:f>IF('Import Ready'!F11="","Not checked",IF(COUNTIF('Import Ready'!$F$5:$F$124,'Import Ready'!F11)&gt;1,"Duplicate email","OK"))</x:f>
        <x:v>OK</x:v>
      </x:c>
      <x:c r="F11" s="85" t="str">
        <x:f>IF('Import Ready'!G11="","Not checked",IF(OR(LEN('Import Ready'!G11)&lt;10,LEN('Import Ready'!G11)&gt;22),"Check phone length","OK"))</x:f>
        <x:v>OK</x:v>
      </x:c>
      <x:c r="G11" s="85" t="str">
        <x:f>IF('Import Ready'!G11="","Not checked",IF(COUNTIF('Import Ready'!$G$5:$G$124,'Import Ready'!G11)&gt;1,"Duplicate phone","OK"))</x:f>
        <x:v>OK</x:v>
      </x:c>
      <x:c r="H11" s="85" t="str">
        <x:f>IF(COUNTIF('Field Rules'!$F$5:$F$9,'Import Ready'!H11)=0,"Check country",IF(COUNTIF('Field Rules'!$G$5:$G$9,'Import Ready'!I11)=0,"Check territory",IF(COUNTIF('Field Rules'!$H$5:$H$9,'Import Ready'!J11)=0,"Check lead source",IF(COUNTIF('Field Rules'!$I$5:$I$9,'Import Ready'!K11)=0,"Check segment",IF(COUNTIF('Field Rules'!$J$5:$J$7,'Import Ready'!L11)=0,"Check account status","OK")))))</x:f>
        <x:v>OK</x:v>
      </x:c>
      <x:c r="I11" s="86" t="str">
        <x:f>IF(B11&lt;&gt;"OK",B11,IF(D11&lt;&gt;"OK",D11,IF(C11&lt;&gt;"OK",C11,IF(E11&lt;&gt;"OK",E11,IF(F11&lt;&gt;"OK",F11,IF(G11&lt;&gt;"OK",G11,IF(H11&lt;&gt;"OK",H11,"Ready")))))))</x:f>
        <x:v>Ready</x:v>
      </x:c>
    </x:row>
    <x:row r="12" ht="21" customHeight="1">
      <x:c r="A12" s="87" t="str">
        <x:f>'Import Ready'!A12</x:f>
        <x:v>C-2008</x:v>
      </x:c>
      <x:c r="B12" s="88" t="str">
        <x:f>IF(OR('Import Ready'!A12="",'Import Ready'!B12="",'Import Ready'!C12="",'Import Ready'!E12="",'Import Ready'!F12="",'Import Ready'!G12="",'Import Ready'!H12="",'Import Ready'!I12="",'Import Ready'!J12="",'Import Ready'!K12="",'Import Ready'!L12="",'Import Ready'!M12="",'Entry Queue'!N12=""),"Missing required field","OK")</x:f>
        <x:v>OK</x:v>
      </x:c>
      <x:c r="C12" s="88" t="str">
        <x:f>IF('Import Ready'!F12="","Not checked",IF(OR(IFERROR(FIND("@",'Import Ready'!F12),0)=0,IFERROR(FIND(".",'Import Ready'!F12,FIND("@",'Import Ready'!F12)+2),0)=0),"Check email","OK"))</x:f>
        <x:v>OK</x:v>
      </x:c>
      <x:c r="D12" s="88" t="str">
        <x:f>IF(A12="","Not checked",IF(COUNTIF($A$5:$A$124,A12)&gt;1,"Duplicate record ID","OK"))</x:f>
        <x:v>OK</x:v>
      </x:c>
      <x:c r="E12" s="88" t="str">
        <x:f>IF('Import Ready'!F12="","Not checked",IF(COUNTIF('Import Ready'!$F$5:$F$124,'Import Ready'!F12)&gt;1,"Duplicate email","OK"))</x:f>
        <x:v>OK</x:v>
      </x:c>
      <x:c r="F12" s="88" t="str">
        <x:f>IF('Import Ready'!G12="","Not checked",IF(OR(LEN('Import Ready'!G12)&lt;10,LEN('Import Ready'!G12)&gt;22),"Check phone length","OK"))</x:f>
        <x:v>OK</x:v>
      </x:c>
      <x:c r="G12" s="88" t="str">
        <x:f>IF('Import Ready'!G12="","Not checked",IF(COUNTIF('Import Ready'!$G$5:$G$124,'Import Ready'!G12)&gt;1,"Duplicate phone","OK"))</x:f>
        <x:v>OK</x:v>
      </x:c>
      <x:c r="H12" s="88" t="str">
        <x:f>IF(COUNTIF('Field Rules'!$F$5:$F$9,'Import Ready'!H12)=0,"Check country",IF(COUNTIF('Field Rules'!$G$5:$G$9,'Import Ready'!I12)=0,"Check territory",IF(COUNTIF('Field Rules'!$H$5:$H$9,'Import Ready'!J12)=0,"Check lead source",IF(COUNTIF('Field Rules'!$I$5:$I$9,'Import Ready'!K12)=0,"Check segment",IF(COUNTIF('Field Rules'!$J$5:$J$7,'Import Ready'!L12)=0,"Check account status","OK")))))</x:f>
        <x:v>OK</x:v>
      </x:c>
      <x:c r="I12" s="89" t="str">
        <x:f>IF(B12&lt;&gt;"OK",B12,IF(D12&lt;&gt;"OK",D12,IF(C12&lt;&gt;"OK",C12,IF(E12&lt;&gt;"OK",E12,IF(F12&lt;&gt;"OK",F12,IF(G12&lt;&gt;"OK",G12,IF(H12&lt;&gt;"OK",H12,"Ready")))))))</x:f>
        <x:v>Ready</x:v>
      </x:c>
    </x:row>
    <x:row r="13" ht="21" customHeight="1">
      <x:c r="A13" s="84" t="str">
        <x:f>'Import Ready'!A13</x:f>
        <x:v>C-2009</x:v>
      </x:c>
      <x:c r="B13" s="85" t="str">
        <x:f>IF(OR('Import Ready'!A13="",'Import Ready'!B13="",'Import Ready'!C13="",'Import Ready'!E13="",'Import Ready'!F13="",'Import Ready'!G13="",'Import Ready'!H13="",'Import Ready'!I13="",'Import Ready'!J13="",'Import Ready'!K13="",'Import Ready'!L13="",'Import Ready'!M13="",'Entry Queue'!N13=""),"Missing required field","OK")</x:f>
        <x:v>OK</x:v>
      </x:c>
      <x:c r="C13" s="85" t="str">
        <x:f>IF('Import Ready'!F13="","Not checked",IF(OR(IFERROR(FIND("@",'Import Ready'!F13),0)=0,IFERROR(FIND(".",'Import Ready'!F13,FIND("@",'Import Ready'!F13)+2),0)=0),"Check email","OK"))</x:f>
        <x:v>OK</x:v>
      </x:c>
      <x:c r="D13" s="85" t="str">
        <x:f>IF(A13="","Not checked",IF(COUNTIF($A$5:$A$124,A13)&gt;1,"Duplicate record ID","OK"))</x:f>
        <x:v>OK</x:v>
      </x:c>
      <x:c r="E13" s="85" t="str">
        <x:f>IF('Import Ready'!F13="","Not checked",IF(COUNTIF('Import Ready'!$F$5:$F$124,'Import Ready'!F13)&gt;1,"Duplicate email","OK"))</x:f>
        <x:v>OK</x:v>
      </x:c>
      <x:c r="F13" s="85" t="str">
        <x:f>IF('Import Ready'!G13="","Not checked",IF(OR(LEN('Import Ready'!G13)&lt;10,LEN('Import Ready'!G13)&gt;22),"Check phone length","OK"))</x:f>
        <x:v>OK</x:v>
      </x:c>
      <x:c r="G13" s="85" t="str">
        <x:f>IF('Import Ready'!G13="","Not checked",IF(COUNTIF('Import Ready'!$G$5:$G$124,'Import Ready'!G13)&gt;1,"Duplicate phone","OK"))</x:f>
        <x:v>OK</x:v>
      </x:c>
      <x:c r="H13" s="85" t="str">
        <x:f>IF(COUNTIF('Field Rules'!$F$5:$F$9,'Import Ready'!H13)=0,"Check country",IF(COUNTIF('Field Rules'!$G$5:$G$9,'Import Ready'!I13)=0,"Check territory",IF(COUNTIF('Field Rules'!$H$5:$H$9,'Import Ready'!J13)=0,"Check lead source",IF(COUNTIF('Field Rules'!$I$5:$I$9,'Import Ready'!K13)=0,"Check segment",IF(COUNTIF('Field Rules'!$J$5:$J$7,'Import Ready'!L13)=0,"Check account status","OK")))))</x:f>
        <x:v>OK</x:v>
      </x:c>
      <x:c r="I13" s="86" t="str">
        <x:f>IF(B13&lt;&gt;"OK",B13,IF(D13&lt;&gt;"OK",D13,IF(C13&lt;&gt;"OK",C13,IF(E13&lt;&gt;"OK",E13,IF(F13&lt;&gt;"OK",F13,IF(G13&lt;&gt;"OK",G13,IF(H13&lt;&gt;"OK",H13,"Ready")))))))</x:f>
        <x:v>Ready</x:v>
      </x:c>
    </x:row>
    <x:row r="14" ht="21" customHeight="1">
      <x:c r="A14" s="87" t="str">
        <x:f>'Import Ready'!A14</x:f>
        <x:v>C-2010</x:v>
      </x:c>
      <x:c r="B14" s="88" t="str">
        <x:f>IF(OR('Import Ready'!A14="",'Import Ready'!B14="",'Import Ready'!C14="",'Import Ready'!E14="",'Import Ready'!F14="",'Import Ready'!G14="",'Import Ready'!H14="",'Import Ready'!I14="",'Import Ready'!J14="",'Import Ready'!K14="",'Import Ready'!L14="",'Import Ready'!M14="",'Entry Queue'!N14=""),"Missing required field","OK")</x:f>
        <x:v>OK</x:v>
      </x:c>
      <x:c r="C14" s="88" t="str">
        <x:f>IF('Import Ready'!F14="","Not checked",IF(OR(IFERROR(FIND("@",'Import Ready'!F14),0)=0,IFERROR(FIND(".",'Import Ready'!F14,FIND("@",'Import Ready'!F14)+2),0)=0),"Check email","OK"))</x:f>
        <x:v>OK</x:v>
      </x:c>
      <x:c r="D14" s="88" t="str">
        <x:f>IF(A14="","Not checked",IF(COUNTIF($A$5:$A$124,A14)&gt;1,"Duplicate record ID","OK"))</x:f>
        <x:v>OK</x:v>
      </x:c>
      <x:c r="E14" s="88" t="str">
        <x:f>IF('Import Ready'!F14="","Not checked",IF(COUNTIF('Import Ready'!$F$5:$F$124,'Import Ready'!F14)&gt;1,"Duplicate email","OK"))</x:f>
        <x:v>OK</x:v>
      </x:c>
      <x:c r="F14" s="88" t="str">
        <x:f>IF('Import Ready'!G14="","Not checked",IF(OR(LEN('Import Ready'!G14)&lt;10,LEN('Import Ready'!G14)&gt;22),"Check phone length","OK"))</x:f>
        <x:v>OK</x:v>
      </x:c>
      <x:c r="G14" s="88" t="str">
        <x:f>IF('Import Ready'!G14="","Not checked",IF(COUNTIF('Import Ready'!$G$5:$G$124,'Import Ready'!G14)&gt;1,"Duplicate phone","OK"))</x:f>
        <x:v>OK</x:v>
      </x:c>
      <x:c r="H14" s="88" t="str">
        <x:f>IF(COUNTIF('Field Rules'!$F$5:$F$9,'Import Ready'!H14)=0,"Check country",IF(COUNTIF('Field Rules'!$G$5:$G$9,'Import Ready'!I14)=0,"Check territory",IF(COUNTIF('Field Rules'!$H$5:$H$9,'Import Ready'!J14)=0,"Check lead source",IF(COUNTIF('Field Rules'!$I$5:$I$9,'Import Ready'!K14)=0,"Check segment",IF(COUNTIF('Field Rules'!$J$5:$J$7,'Import Ready'!L14)=0,"Check account status","OK")))))</x:f>
        <x:v>OK</x:v>
      </x:c>
      <x:c r="I14" s="89" t="str">
        <x:f>IF(B14&lt;&gt;"OK",B14,IF(D14&lt;&gt;"OK",D14,IF(C14&lt;&gt;"OK",C14,IF(E14&lt;&gt;"OK",E14,IF(F14&lt;&gt;"OK",F14,IF(G14&lt;&gt;"OK",G14,IF(H14&lt;&gt;"OK",H14,"Ready")))))))</x:f>
        <x:v>Ready</x:v>
      </x:c>
    </x:row>
    <x:row r="15" ht="21" customHeight="1">
      <x:c r="A15" s="84" t="str">
        <x:f>'Import Ready'!A15</x:f>
        <x:v>C-2011</x:v>
      </x:c>
      <x:c r="B15" s="85" t="str">
        <x:f>IF(OR('Import Ready'!A15="",'Import Ready'!B15="",'Import Ready'!C15="",'Import Ready'!E15="",'Import Ready'!F15="",'Import Ready'!G15="",'Import Ready'!H15="",'Import Ready'!I15="",'Import Ready'!J15="",'Import Ready'!K15="",'Import Ready'!L15="",'Import Ready'!M15="",'Entry Queue'!N15=""),"Missing required field","OK")</x:f>
        <x:v>OK</x:v>
      </x:c>
      <x:c r="C15" s="85" t="str">
        <x:f>IF('Import Ready'!F15="","Not checked",IF(OR(IFERROR(FIND("@",'Import Ready'!F15),0)=0,IFERROR(FIND(".",'Import Ready'!F15,FIND("@",'Import Ready'!F15)+2),0)=0),"Check email","OK"))</x:f>
        <x:v>OK</x:v>
      </x:c>
      <x:c r="D15" s="85" t="str">
        <x:f>IF(A15="","Not checked",IF(COUNTIF($A$5:$A$124,A15)&gt;1,"Duplicate record ID","OK"))</x:f>
        <x:v>OK</x:v>
      </x:c>
      <x:c r="E15" s="85" t="str">
        <x:f>IF('Import Ready'!F15="","Not checked",IF(COUNTIF('Import Ready'!$F$5:$F$124,'Import Ready'!F15)&gt;1,"Duplicate email","OK"))</x:f>
        <x:v>OK</x:v>
      </x:c>
      <x:c r="F15" s="85" t="str">
        <x:f>IF('Import Ready'!G15="","Not checked",IF(OR(LEN('Import Ready'!G15)&lt;10,LEN('Import Ready'!G15)&gt;22),"Check phone length","OK"))</x:f>
        <x:v>OK</x:v>
      </x:c>
      <x:c r="G15" s="85" t="str">
        <x:f>IF('Import Ready'!G15="","Not checked",IF(COUNTIF('Import Ready'!$G$5:$G$124,'Import Ready'!G15)&gt;1,"Duplicate phone","OK"))</x:f>
        <x:v>OK</x:v>
      </x:c>
      <x:c r="H15" s="85" t="str">
        <x:f>IF(COUNTIF('Field Rules'!$F$5:$F$9,'Import Ready'!H15)=0,"Check country",IF(COUNTIF('Field Rules'!$G$5:$G$9,'Import Ready'!I15)=0,"Check territory",IF(COUNTIF('Field Rules'!$H$5:$H$9,'Import Ready'!J15)=0,"Check lead source",IF(COUNTIF('Field Rules'!$I$5:$I$9,'Import Ready'!K15)=0,"Check segment",IF(COUNTIF('Field Rules'!$J$5:$J$7,'Import Ready'!L15)=0,"Check account status","OK")))))</x:f>
        <x:v>OK</x:v>
      </x:c>
      <x:c r="I15" s="86" t="str">
        <x:f>IF(B15&lt;&gt;"OK",B15,IF(D15&lt;&gt;"OK",D15,IF(C15&lt;&gt;"OK",C15,IF(E15&lt;&gt;"OK",E15,IF(F15&lt;&gt;"OK",F15,IF(G15&lt;&gt;"OK",G15,IF(H15&lt;&gt;"OK",H15,"Ready")))))))</x:f>
        <x:v>Ready</x:v>
      </x:c>
    </x:row>
    <x:row r="16" ht="21" customHeight="1">
      <x:c r="A16" s="87" t="str">
        <x:f>'Import Ready'!A16</x:f>
        <x:v>C-2012</x:v>
      </x:c>
      <x:c r="B16" s="88" t="str">
        <x:f>IF(OR('Import Ready'!A16="",'Import Ready'!B16="",'Import Ready'!C16="",'Import Ready'!E16="",'Import Ready'!F16="",'Import Ready'!G16="",'Import Ready'!H16="",'Import Ready'!I16="",'Import Ready'!J16="",'Import Ready'!K16="",'Import Ready'!L16="",'Import Ready'!M16="",'Entry Queue'!N16=""),"Missing required field","OK")</x:f>
        <x:v>OK</x:v>
      </x:c>
      <x:c r="C16" s="88" t="str">
        <x:f>IF('Import Ready'!F16="","Not checked",IF(OR(IFERROR(FIND("@",'Import Ready'!F16),0)=0,IFERROR(FIND(".",'Import Ready'!F16,FIND("@",'Import Ready'!F16)+2),0)=0),"Check email","OK"))</x:f>
        <x:v>OK</x:v>
      </x:c>
      <x:c r="D16" s="88" t="str">
        <x:f>IF(A16="","Not checked",IF(COUNTIF($A$5:$A$124,A16)&gt;1,"Duplicate record ID","OK"))</x:f>
        <x:v>OK</x:v>
      </x:c>
      <x:c r="E16" s="88" t="str">
        <x:f>IF('Import Ready'!F16="","Not checked",IF(COUNTIF('Import Ready'!$F$5:$F$124,'Import Ready'!F16)&gt;1,"Duplicate email","OK"))</x:f>
        <x:v>OK</x:v>
      </x:c>
      <x:c r="F16" s="88" t="str">
        <x:f>IF('Import Ready'!G16="","Not checked",IF(OR(LEN('Import Ready'!G16)&lt;10,LEN('Import Ready'!G16)&gt;22),"Check phone length","OK"))</x:f>
        <x:v>OK</x:v>
      </x:c>
      <x:c r="G16" s="88" t="str">
        <x:f>IF('Import Ready'!G16="","Not checked",IF(COUNTIF('Import Ready'!$G$5:$G$124,'Import Ready'!G16)&gt;1,"Duplicate phone","OK"))</x:f>
        <x:v>OK</x:v>
      </x:c>
      <x:c r="H16" s="88" t="str">
        <x:f>IF(COUNTIF('Field Rules'!$F$5:$F$9,'Import Ready'!H16)=0,"Check country",IF(COUNTIF('Field Rules'!$G$5:$G$9,'Import Ready'!I16)=0,"Check territory",IF(COUNTIF('Field Rules'!$H$5:$H$9,'Import Ready'!J16)=0,"Check lead source",IF(COUNTIF('Field Rules'!$I$5:$I$9,'Import Ready'!K16)=0,"Check segment",IF(COUNTIF('Field Rules'!$J$5:$J$7,'Import Ready'!L16)=0,"Check account status","OK")))))</x:f>
        <x:v>OK</x:v>
      </x:c>
      <x:c r="I16" s="89" t="str">
        <x:f>IF(B16&lt;&gt;"OK",B16,IF(D16&lt;&gt;"OK",D16,IF(C16&lt;&gt;"OK",C16,IF(E16&lt;&gt;"OK",E16,IF(F16&lt;&gt;"OK",F16,IF(G16&lt;&gt;"OK",G16,IF(H16&lt;&gt;"OK",H16,"Ready")))))))</x:f>
        <x:v>Ready</x:v>
      </x:c>
    </x:row>
    <x:row r="17" ht="21" customHeight="1">
      <x:c r="A17" s="84" t="str">
        <x:f>'Import Ready'!A17</x:f>
        <x:v>C-2013</x:v>
      </x:c>
      <x:c r="B17" s="85" t="str">
        <x:f>IF(OR('Import Ready'!A17="",'Import Ready'!B17="",'Import Ready'!C17="",'Import Ready'!E17="",'Import Ready'!F17="",'Import Ready'!G17="",'Import Ready'!H17="",'Import Ready'!I17="",'Import Ready'!J17="",'Import Ready'!K17="",'Import Ready'!L17="",'Import Ready'!M17="",'Entry Queue'!N17=""),"Missing required field","OK")</x:f>
        <x:v>OK</x:v>
      </x:c>
      <x:c r="C17" s="85" t="str">
        <x:f>IF('Import Ready'!F17="","Not checked",IF(OR(IFERROR(FIND("@",'Import Ready'!F17),0)=0,IFERROR(FIND(".",'Import Ready'!F17,FIND("@",'Import Ready'!F17)+2),0)=0),"Check email","OK"))</x:f>
        <x:v>OK</x:v>
      </x:c>
      <x:c r="D17" s="85" t="str">
        <x:f>IF(A17="","Not checked",IF(COUNTIF($A$5:$A$124,A17)&gt;1,"Duplicate record ID","OK"))</x:f>
        <x:v>OK</x:v>
      </x:c>
      <x:c r="E17" s="85" t="str">
        <x:f>IF('Import Ready'!F17="","Not checked",IF(COUNTIF('Import Ready'!$F$5:$F$124,'Import Ready'!F17)&gt;1,"Duplicate email","OK"))</x:f>
        <x:v>OK</x:v>
      </x:c>
      <x:c r="F17" s="85" t="str">
        <x:f>IF('Import Ready'!G17="","Not checked",IF(OR(LEN('Import Ready'!G17)&lt;10,LEN('Import Ready'!G17)&gt;22),"Check phone length","OK"))</x:f>
        <x:v>OK</x:v>
      </x:c>
      <x:c r="G17" s="85" t="str">
        <x:f>IF('Import Ready'!G17="","Not checked",IF(COUNTIF('Import Ready'!$G$5:$G$124,'Import Ready'!G17)&gt;1,"Duplicate phone","OK"))</x:f>
        <x:v>OK</x:v>
      </x:c>
      <x:c r="H17" s="85" t="str">
        <x:f>IF(COUNTIF('Field Rules'!$F$5:$F$9,'Import Ready'!H17)=0,"Check country",IF(COUNTIF('Field Rules'!$G$5:$G$9,'Import Ready'!I17)=0,"Check territory",IF(COUNTIF('Field Rules'!$H$5:$H$9,'Import Ready'!J17)=0,"Check lead source",IF(COUNTIF('Field Rules'!$I$5:$I$9,'Import Ready'!K17)=0,"Check segment",IF(COUNTIF('Field Rules'!$J$5:$J$7,'Import Ready'!L17)=0,"Check account status","OK")))))</x:f>
        <x:v>OK</x:v>
      </x:c>
      <x:c r="I17" s="86" t="str">
        <x:f>IF(B17&lt;&gt;"OK",B17,IF(D17&lt;&gt;"OK",D17,IF(C17&lt;&gt;"OK",C17,IF(E17&lt;&gt;"OK",E17,IF(F17&lt;&gt;"OK",F17,IF(G17&lt;&gt;"OK",G17,IF(H17&lt;&gt;"OK",H17,"Ready")))))))</x:f>
        <x:v>Ready</x:v>
      </x:c>
    </x:row>
    <x:row r="18" ht="21" customHeight="1">
      <x:c r="A18" s="87" t="str">
        <x:f>'Import Ready'!A18</x:f>
        <x:v>C-2014</x:v>
      </x:c>
      <x:c r="B18" s="88" t="str">
        <x:f>IF(OR('Import Ready'!A18="",'Import Ready'!B18="",'Import Ready'!C18="",'Import Ready'!E18="",'Import Ready'!F18="",'Import Ready'!G18="",'Import Ready'!H18="",'Import Ready'!I18="",'Import Ready'!J18="",'Import Ready'!K18="",'Import Ready'!L18="",'Import Ready'!M18="",'Entry Queue'!N18=""),"Missing required field","OK")</x:f>
        <x:v>OK</x:v>
      </x:c>
      <x:c r="C18" s="88" t="str">
        <x:f>IF('Import Ready'!F18="","Not checked",IF(OR(IFERROR(FIND("@",'Import Ready'!F18),0)=0,IFERROR(FIND(".",'Import Ready'!F18,FIND("@",'Import Ready'!F18)+2),0)=0),"Check email","OK"))</x:f>
        <x:v>OK</x:v>
      </x:c>
      <x:c r="D18" s="88" t="str">
        <x:f>IF(A18="","Not checked",IF(COUNTIF($A$5:$A$124,A18)&gt;1,"Duplicate record ID","OK"))</x:f>
        <x:v>OK</x:v>
      </x:c>
      <x:c r="E18" s="88" t="str">
        <x:f>IF('Import Ready'!F18="","Not checked",IF(COUNTIF('Import Ready'!$F$5:$F$124,'Import Ready'!F18)&gt;1,"Duplicate email","OK"))</x:f>
        <x:v>OK</x:v>
      </x:c>
      <x:c r="F18" s="88" t="str">
        <x:f>IF('Import Ready'!G18="","Not checked",IF(OR(LEN('Import Ready'!G18)&lt;10,LEN('Import Ready'!G18)&gt;22),"Check phone length","OK"))</x:f>
        <x:v>OK</x:v>
      </x:c>
      <x:c r="G18" s="88" t="str">
        <x:f>IF('Import Ready'!G18="","Not checked",IF(COUNTIF('Import Ready'!$G$5:$G$124,'Import Ready'!G18)&gt;1,"Duplicate phone","OK"))</x:f>
        <x:v>OK</x:v>
      </x:c>
      <x:c r="H18" s="88" t="str">
        <x:f>IF(COUNTIF('Field Rules'!$F$5:$F$9,'Import Ready'!H18)=0,"Check country",IF(COUNTIF('Field Rules'!$G$5:$G$9,'Import Ready'!I18)=0,"Check territory",IF(COUNTIF('Field Rules'!$H$5:$H$9,'Import Ready'!J18)=0,"Check lead source",IF(COUNTIF('Field Rules'!$I$5:$I$9,'Import Ready'!K18)=0,"Check segment",IF(COUNTIF('Field Rules'!$J$5:$J$7,'Import Ready'!L18)=0,"Check account status","OK")))))</x:f>
        <x:v>OK</x:v>
      </x:c>
      <x:c r="I18" s="89" t="str">
        <x:f>IF(B18&lt;&gt;"OK",B18,IF(D18&lt;&gt;"OK",D18,IF(C18&lt;&gt;"OK",C18,IF(E18&lt;&gt;"OK",E18,IF(F18&lt;&gt;"OK",F18,IF(G18&lt;&gt;"OK",G18,IF(H18&lt;&gt;"OK",H18,"Ready")))))))</x:f>
        <x:v>Ready</x:v>
      </x:c>
    </x:row>
    <x:row r="19" ht="21" customHeight="1">
      <x:c r="A19" s="84" t="str">
        <x:f>'Import Ready'!A19</x:f>
        <x:v>C-2015</x:v>
      </x:c>
      <x:c r="B19" s="85" t="str">
        <x:f>IF(OR('Import Ready'!A19="",'Import Ready'!B19="",'Import Ready'!C19="",'Import Ready'!E19="",'Import Ready'!F19="",'Import Ready'!G19="",'Import Ready'!H19="",'Import Ready'!I19="",'Import Ready'!J19="",'Import Ready'!K19="",'Import Ready'!L19="",'Import Ready'!M19="",'Entry Queue'!N19=""),"Missing required field","OK")</x:f>
        <x:v>OK</x:v>
      </x:c>
      <x:c r="C19" s="85" t="str">
        <x:f>IF('Import Ready'!F19="","Not checked",IF(OR(IFERROR(FIND("@",'Import Ready'!F19),0)=0,IFERROR(FIND(".",'Import Ready'!F19,FIND("@",'Import Ready'!F19)+2),0)=0),"Check email","OK"))</x:f>
        <x:v>OK</x:v>
      </x:c>
      <x:c r="D19" s="85" t="str">
        <x:f>IF(A19="","Not checked",IF(COUNTIF($A$5:$A$124,A19)&gt;1,"Duplicate record ID","OK"))</x:f>
        <x:v>OK</x:v>
      </x:c>
      <x:c r="E19" s="85" t="str">
        <x:f>IF('Import Ready'!F19="","Not checked",IF(COUNTIF('Import Ready'!$F$5:$F$124,'Import Ready'!F19)&gt;1,"Duplicate email","OK"))</x:f>
        <x:v>OK</x:v>
      </x:c>
      <x:c r="F19" s="85" t="str">
        <x:f>IF('Import Ready'!G19="","Not checked",IF(OR(LEN('Import Ready'!G19)&lt;10,LEN('Import Ready'!G19)&gt;22),"Check phone length","OK"))</x:f>
        <x:v>OK</x:v>
      </x:c>
      <x:c r="G19" s="85" t="str">
        <x:f>IF('Import Ready'!G19="","Not checked",IF(COUNTIF('Import Ready'!$G$5:$G$124,'Import Ready'!G19)&gt;1,"Duplicate phone","OK"))</x:f>
        <x:v>OK</x:v>
      </x:c>
      <x:c r="H19" s="85" t="str">
        <x:f>IF(COUNTIF('Field Rules'!$F$5:$F$9,'Import Ready'!H19)=0,"Check country",IF(COUNTIF('Field Rules'!$G$5:$G$9,'Import Ready'!I19)=0,"Check territory",IF(COUNTIF('Field Rules'!$H$5:$H$9,'Import Ready'!J19)=0,"Check lead source",IF(COUNTIF('Field Rules'!$I$5:$I$9,'Import Ready'!K19)=0,"Check segment",IF(COUNTIF('Field Rules'!$J$5:$J$7,'Import Ready'!L19)=0,"Check account status","OK")))))</x:f>
        <x:v>OK</x:v>
      </x:c>
      <x:c r="I19" s="86" t="str">
        <x:f>IF(B19&lt;&gt;"OK",B19,IF(D19&lt;&gt;"OK",D19,IF(C19&lt;&gt;"OK",C19,IF(E19&lt;&gt;"OK",E19,IF(F19&lt;&gt;"OK",F19,IF(G19&lt;&gt;"OK",G19,IF(H19&lt;&gt;"OK",H19,"Ready")))))))</x:f>
        <x:v>Ready</x:v>
      </x:c>
    </x:row>
    <x:row r="20" ht="21" customHeight="1">
      <x:c r="A20" s="87" t="str">
        <x:f>'Import Ready'!A20</x:f>
        <x:v>C-2016</x:v>
      </x:c>
      <x:c r="B20" s="88" t="str">
        <x:f>IF(OR('Import Ready'!A20="",'Import Ready'!B20="",'Import Ready'!C20="",'Import Ready'!E20="",'Import Ready'!F20="",'Import Ready'!G20="",'Import Ready'!H20="",'Import Ready'!I20="",'Import Ready'!J20="",'Import Ready'!K20="",'Import Ready'!L20="",'Import Ready'!M20="",'Entry Queue'!N20=""),"Missing required field","OK")</x:f>
        <x:v>OK</x:v>
      </x:c>
      <x:c r="C20" s="88" t="str">
        <x:f>IF('Import Ready'!F20="","Not checked",IF(OR(IFERROR(FIND("@",'Import Ready'!F20),0)=0,IFERROR(FIND(".",'Import Ready'!F20,FIND("@",'Import Ready'!F20)+2),0)=0),"Check email","OK"))</x:f>
        <x:v>OK</x:v>
      </x:c>
      <x:c r="D20" s="88" t="str">
        <x:f>IF(A20="","Not checked",IF(COUNTIF($A$5:$A$124,A20)&gt;1,"Duplicate record ID","OK"))</x:f>
        <x:v>OK</x:v>
      </x:c>
      <x:c r="E20" s="88" t="str">
        <x:f>IF('Import Ready'!F20="","Not checked",IF(COUNTIF('Import Ready'!$F$5:$F$124,'Import Ready'!F20)&gt;1,"Duplicate email","OK"))</x:f>
        <x:v>OK</x:v>
      </x:c>
      <x:c r="F20" s="88" t="str">
        <x:f>IF('Import Ready'!G20="","Not checked",IF(OR(LEN('Import Ready'!G20)&lt;10,LEN('Import Ready'!G20)&gt;22),"Check phone length","OK"))</x:f>
        <x:v>OK</x:v>
      </x:c>
      <x:c r="G20" s="88" t="str">
        <x:f>IF('Import Ready'!G20="","Not checked",IF(COUNTIF('Import Ready'!$G$5:$G$124,'Import Ready'!G20)&gt;1,"Duplicate phone","OK"))</x:f>
        <x:v>OK</x:v>
      </x:c>
      <x:c r="H20" s="88" t="str">
        <x:f>IF(COUNTIF('Field Rules'!$F$5:$F$9,'Import Ready'!H20)=0,"Check country",IF(COUNTIF('Field Rules'!$G$5:$G$9,'Import Ready'!I20)=0,"Check territory",IF(COUNTIF('Field Rules'!$H$5:$H$9,'Import Ready'!J20)=0,"Check lead source",IF(COUNTIF('Field Rules'!$I$5:$I$9,'Import Ready'!K20)=0,"Check segment",IF(COUNTIF('Field Rules'!$J$5:$J$7,'Import Ready'!L20)=0,"Check account status","OK")))))</x:f>
        <x:v>OK</x:v>
      </x:c>
      <x:c r="I20" s="89" t="str">
        <x:f>IF(B20&lt;&gt;"OK",B20,IF(D20&lt;&gt;"OK",D20,IF(C20&lt;&gt;"OK",C20,IF(E20&lt;&gt;"OK",E20,IF(F20&lt;&gt;"OK",F20,IF(G20&lt;&gt;"OK",G20,IF(H20&lt;&gt;"OK",H20,"Ready")))))))</x:f>
        <x:v>Ready</x:v>
      </x:c>
    </x:row>
    <x:row r="21" ht="21" customHeight="1">
      <x:c r="A21" s="84" t="str">
        <x:f>'Import Ready'!A21</x:f>
        <x:v>C-2017</x:v>
      </x:c>
      <x:c r="B21" s="85" t="str">
        <x:f>IF(OR('Import Ready'!A21="",'Import Ready'!B21="",'Import Ready'!C21="",'Import Ready'!E21="",'Import Ready'!F21="",'Import Ready'!G21="",'Import Ready'!H21="",'Import Ready'!I21="",'Import Ready'!J21="",'Import Ready'!K21="",'Import Ready'!L21="",'Import Ready'!M21="",'Entry Queue'!N21=""),"Missing required field","OK")</x:f>
        <x:v>OK</x:v>
      </x:c>
      <x:c r="C21" s="85" t="str">
        <x:f>IF('Import Ready'!F21="","Not checked",IF(OR(IFERROR(FIND("@",'Import Ready'!F21),0)=0,IFERROR(FIND(".",'Import Ready'!F21,FIND("@",'Import Ready'!F21)+2),0)=0),"Check email","OK"))</x:f>
        <x:v>OK</x:v>
      </x:c>
      <x:c r="D21" s="85" t="str">
        <x:f>IF(A21="","Not checked",IF(COUNTIF($A$5:$A$124,A21)&gt;1,"Duplicate record ID","OK"))</x:f>
        <x:v>OK</x:v>
      </x:c>
      <x:c r="E21" s="85" t="str">
        <x:f>IF('Import Ready'!F21="","Not checked",IF(COUNTIF('Import Ready'!$F$5:$F$124,'Import Ready'!F21)&gt;1,"Duplicate email","OK"))</x:f>
        <x:v>OK</x:v>
      </x:c>
      <x:c r="F21" s="85" t="str">
        <x:f>IF('Import Ready'!G21="","Not checked",IF(OR(LEN('Import Ready'!G21)&lt;10,LEN('Import Ready'!G21)&gt;22),"Check phone length","OK"))</x:f>
        <x:v>OK</x:v>
      </x:c>
      <x:c r="G21" s="85" t="str">
        <x:f>IF('Import Ready'!G21="","Not checked",IF(COUNTIF('Import Ready'!$G$5:$G$124,'Import Ready'!G21)&gt;1,"Duplicate phone","OK"))</x:f>
        <x:v>OK</x:v>
      </x:c>
      <x:c r="H21" s="85" t="str">
        <x:f>IF(COUNTIF('Field Rules'!$F$5:$F$9,'Import Ready'!H21)=0,"Check country",IF(COUNTIF('Field Rules'!$G$5:$G$9,'Import Ready'!I21)=0,"Check territory",IF(COUNTIF('Field Rules'!$H$5:$H$9,'Import Ready'!J21)=0,"Check lead source",IF(COUNTIF('Field Rules'!$I$5:$I$9,'Import Ready'!K21)=0,"Check segment",IF(COUNTIF('Field Rules'!$J$5:$J$7,'Import Ready'!L21)=0,"Check account status","OK")))))</x:f>
        <x:v>OK</x:v>
      </x:c>
      <x:c r="I21" s="86" t="str">
        <x:f>IF(B21&lt;&gt;"OK",B21,IF(D21&lt;&gt;"OK",D21,IF(C21&lt;&gt;"OK",C21,IF(E21&lt;&gt;"OK",E21,IF(F21&lt;&gt;"OK",F21,IF(G21&lt;&gt;"OK",G21,IF(H21&lt;&gt;"OK",H21,"Ready")))))))</x:f>
        <x:v>Ready</x:v>
      </x:c>
    </x:row>
    <x:row r="22" ht="21" customHeight="1">
      <x:c r="A22" s="87" t="str">
        <x:f>'Import Ready'!A22</x:f>
        <x:v>C-2018</x:v>
      </x:c>
      <x:c r="B22" s="88" t="str">
        <x:f>IF(OR('Import Ready'!A22="",'Import Ready'!B22="",'Import Ready'!C22="",'Import Ready'!E22="",'Import Ready'!F22="",'Import Ready'!G22="",'Import Ready'!H22="",'Import Ready'!I22="",'Import Ready'!J22="",'Import Ready'!K22="",'Import Ready'!L22="",'Import Ready'!M22="",'Entry Queue'!N22=""),"Missing required field","OK")</x:f>
        <x:v>OK</x:v>
      </x:c>
      <x:c r="C22" s="88" t="str">
        <x:f>IF('Import Ready'!F22="","Not checked",IF(OR(IFERROR(FIND("@",'Import Ready'!F22),0)=0,IFERROR(FIND(".",'Import Ready'!F22,FIND("@",'Import Ready'!F22)+2),0)=0),"Check email","OK"))</x:f>
        <x:v>Check email</x:v>
      </x:c>
      <x:c r="D22" s="88" t="str">
        <x:f>IF(A22="","Not checked",IF(COUNTIF($A$5:$A$124,A22)&gt;1,"Duplicate record ID","OK"))</x:f>
        <x:v>OK</x:v>
      </x:c>
      <x:c r="E22" s="88" t="str">
        <x:f>IF('Import Ready'!F22="","Not checked",IF(COUNTIF('Import Ready'!$F$5:$F$124,'Import Ready'!F22)&gt;1,"Duplicate email","OK"))</x:f>
        <x:v>OK</x:v>
      </x:c>
      <x:c r="F22" s="88" t="str">
        <x:f>IF('Import Ready'!G22="","Not checked",IF(OR(LEN('Import Ready'!G22)&lt;10,LEN('Import Ready'!G22)&gt;22),"Check phone length","OK"))</x:f>
        <x:v>OK</x:v>
      </x:c>
      <x:c r="G22" s="88" t="str">
        <x:f>IF('Import Ready'!G22="","Not checked",IF(COUNTIF('Import Ready'!$G$5:$G$124,'Import Ready'!G22)&gt;1,"Duplicate phone","OK"))</x:f>
        <x:v>OK</x:v>
      </x:c>
      <x:c r="H22" s="88" t="str">
        <x:f>IF(COUNTIF('Field Rules'!$F$5:$F$9,'Import Ready'!H22)=0,"Check country",IF(COUNTIF('Field Rules'!$G$5:$G$9,'Import Ready'!I22)=0,"Check territory",IF(COUNTIF('Field Rules'!$H$5:$H$9,'Import Ready'!J22)=0,"Check lead source",IF(COUNTIF('Field Rules'!$I$5:$I$9,'Import Ready'!K22)=0,"Check segment",IF(COUNTIF('Field Rules'!$J$5:$J$7,'Import Ready'!L22)=0,"Check account status","OK")))))</x:f>
        <x:v>OK</x:v>
      </x:c>
      <x:c r="I22" s="89" t="str">
        <x:f>IF(B22&lt;&gt;"OK",B22,IF(D22&lt;&gt;"OK",D22,IF(C22&lt;&gt;"OK",C22,IF(E22&lt;&gt;"OK",E22,IF(F22&lt;&gt;"OK",F22,IF(G22&lt;&gt;"OK",G22,IF(H22&lt;&gt;"OK",H22,"Ready")))))))</x:f>
        <x:v>Check email</x:v>
      </x:c>
    </x:row>
    <x:row r="23" ht="21" customHeight="1">
      <x:c r="A23" s="84" t="str">
        <x:f>'Import Ready'!A23</x:f>
        <x:v>C-2019</x:v>
      </x:c>
      <x:c r="B23" s="85" t="str">
        <x:f>IF(OR('Import Ready'!A23="",'Import Ready'!B23="",'Import Ready'!C23="",'Import Ready'!E23="",'Import Ready'!F23="",'Import Ready'!G23="",'Import Ready'!H23="",'Import Ready'!I23="",'Import Ready'!J23="",'Import Ready'!K23="",'Import Ready'!L23="",'Import Ready'!M23="",'Entry Queue'!N23=""),"Missing required field","OK")</x:f>
        <x:v>OK</x:v>
      </x:c>
      <x:c r="C23" s="85" t="str">
        <x:f>IF('Import Ready'!F23="","Not checked",IF(OR(IFERROR(FIND("@",'Import Ready'!F23),0)=0,IFERROR(FIND(".",'Import Ready'!F23,FIND("@",'Import Ready'!F23)+2),0)=0),"Check email","OK"))</x:f>
        <x:v>OK</x:v>
      </x:c>
      <x:c r="D23" s="85" t="str">
        <x:f>IF(A23="","Not checked",IF(COUNTIF($A$5:$A$124,A23)&gt;1,"Duplicate record ID","OK"))</x:f>
        <x:v>OK</x:v>
      </x:c>
      <x:c r="E23" s="85" t="str">
        <x:f>IF('Import Ready'!F23="","Not checked",IF(COUNTIF('Import Ready'!$F$5:$F$124,'Import Ready'!F23)&gt;1,"Duplicate email","OK"))</x:f>
        <x:v>OK</x:v>
      </x:c>
      <x:c r="F23" s="85" t="str">
        <x:f>IF('Import Ready'!G23="","Not checked",IF(OR(LEN('Import Ready'!G23)&lt;10,LEN('Import Ready'!G23)&gt;22),"Check phone length","OK"))</x:f>
        <x:v>OK</x:v>
      </x:c>
      <x:c r="G23" s="85" t="str">
        <x:f>IF('Import Ready'!G23="","Not checked",IF(COUNTIF('Import Ready'!$G$5:$G$124,'Import Ready'!G23)&gt;1,"Duplicate phone","OK"))</x:f>
        <x:v>OK</x:v>
      </x:c>
      <x:c r="H23" s="85" t="str">
        <x:f>IF(COUNTIF('Field Rules'!$F$5:$F$9,'Import Ready'!H23)=0,"Check country",IF(COUNTIF('Field Rules'!$G$5:$G$9,'Import Ready'!I23)=0,"Check territory",IF(COUNTIF('Field Rules'!$H$5:$H$9,'Import Ready'!J23)=0,"Check lead source",IF(COUNTIF('Field Rules'!$I$5:$I$9,'Import Ready'!K23)=0,"Check segment",IF(COUNTIF('Field Rules'!$J$5:$J$7,'Import Ready'!L23)=0,"Check account status","OK")))))</x:f>
        <x:v>OK</x:v>
      </x:c>
      <x:c r="I23" s="86" t="str">
        <x:f>IF(B23&lt;&gt;"OK",B23,IF(D23&lt;&gt;"OK",D23,IF(C23&lt;&gt;"OK",C23,IF(E23&lt;&gt;"OK",E23,IF(F23&lt;&gt;"OK",F23,IF(G23&lt;&gt;"OK",G23,IF(H23&lt;&gt;"OK",H23,"Ready")))))))</x:f>
        <x:v>Ready</x:v>
      </x:c>
    </x:row>
    <x:row r="24" ht="21" customHeight="1">
      <x:c r="A24" s="87" t="str">
        <x:f>'Import Ready'!A24</x:f>
        <x:v>C-2020</x:v>
      </x:c>
      <x:c r="B24" s="88" t="str">
        <x:f>IF(OR('Import Ready'!A24="",'Import Ready'!B24="",'Import Ready'!C24="",'Import Ready'!E24="",'Import Ready'!F24="",'Import Ready'!G24="",'Import Ready'!H24="",'Import Ready'!I24="",'Import Ready'!J24="",'Import Ready'!K24="",'Import Ready'!L24="",'Import Ready'!M24="",'Entry Queue'!N24=""),"Missing required field","OK")</x:f>
        <x:v>OK</x:v>
      </x:c>
      <x:c r="C24" s="88" t="str">
        <x:f>IF('Import Ready'!F24="","Not checked",IF(OR(IFERROR(FIND("@",'Import Ready'!F24),0)=0,IFERROR(FIND(".",'Import Ready'!F24,FIND("@",'Import Ready'!F24)+2),0)=0),"Check email","OK"))</x:f>
        <x:v>OK</x:v>
      </x:c>
      <x:c r="D24" s="88" t="str">
        <x:f>IF(A24="","Not checked",IF(COUNTIF($A$5:$A$124,A24)&gt;1,"Duplicate record ID","OK"))</x:f>
        <x:v>OK</x:v>
      </x:c>
      <x:c r="E24" s="88" t="str">
        <x:f>IF('Import Ready'!F24="","Not checked",IF(COUNTIF('Import Ready'!$F$5:$F$124,'Import Ready'!F24)&gt;1,"Duplicate email","OK"))</x:f>
        <x:v>OK</x:v>
      </x:c>
      <x:c r="F24" s="88" t="str">
        <x:f>IF('Import Ready'!G24="","Not checked",IF(OR(LEN('Import Ready'!G24)&lt;10,LEN('Import Ready'!G24)&gt;22),"Check phone length","OK"))</x:f>
        <x:v>OK</x:v>
      </x:c>
      <x:c r="G24" s="88" t="str">
        <x:f>IF('Import Ready'!G24="","Not checked",IF(COUNTIF('Import Ready'!$G$5:$G$124,'Import Ready'!G24)&gt;1,"Duplicate phone","OK"))</x:f>
        <x:v>OK</x:v>
      </x:c>
      <x:c r="H24" s="88" t="str">
        <x:f>IF(COUNTIF('Field Rules'!$F$5:$F$9,'Import Ready'!H24)=0,"Check country",IF(COUNTIF('Field Rules'!$G$5:$G$9,'Import Ready'!I24)=0,"Check territory",IF(COUNTIF('Field Rules'!$H$5:$H$9,'Import Ready'!J24)=0,"Check lead source",IF(COUNTIF('Field Rules'!$I$5:$I$9,'Import Ready'!K24)=0,"Check segment",IF(COUNTIF('Field Rules'!$J$5:$J$7,'Import Ready'!L24)=0,"Check account status","OK")))))</x:f>
        <x:v>OK</x:v>
      </x:c>
      <x:c r="I24" s="89" t="str">
        <x:f>IF(B24&lt;&gt;"OK",B24,IF(D24&lt;&gt;"OK",D24,IF(C24&lt;&gt;"OK",C24,IF(E24&lt;&gt;"OK",E24,IF(F24&lt;&gt;"OK",F24,IF(G24&lt;&gt;"OK",G24,IF(H24&lt;&gt;"OK",H24,"Ready")))))))</x:f>
        <x:v>Ready</x:v>
      </x:c>
    </x:row>
    <x:row r="25" ht="21" customHeight="1">
      <x:c r="A25" s="84" t="str">
        <x:f>'Import Ready'!A25</x:f>
        <x:v>C-2021</x:v>
      </x:c>
      <x:c r="B25" s="85" t="str">
        <x:f>IF(OR('Import Ready'!A25="",'Import Ready'!B25="",'Import Ready'!C25="",'Import Ready'!E25="",'Import Ready'!F25="",'Import Ready'!G25="",'Import Ready'!H25="",'Import Ready'!I25="",'Import Ready'!J25="",'Import Ready'!K25="",'Import Ready'!L25="",'Import Ready'!M25="",'Entry Queue'!N25=""),"Missing required field","OK")</x:f>
        <x:v>OK</x:v>
      </x:c>
      <x:c r="C25" s="85" t="str">
        <x:f>IF('Import Ready'!F25="","Not checked",IF(OR(IFERROR(FIND("@",'Import Ready'!F25),0)=0,IFERROR(FIND(".",'Import Ready'!F25,FIND("@",'Import Ready'!F25)+2),0)=0),"Check email","OK"))</x:f>
        <x:v>OK</x:v>
      </x:c>
      <x:c r="D25" s="85" t="str">
        <x:f>IF(A25="","Not checked",IF(COUNTIF($A$5:$A$124,A25)&gt;1,"Duplicate record ID","OK"))</x:f>
        <x:v>OK</x:v>
      </x:c>
      <x:c r="E25" s="85" t="str">
        <x:f>IF('Import Ready'!F25="","Not checked",IF(COUNTIF('Import Ready'!$F$5:$F$124,'Import Ready'!F25)&gt;1,"Duplicate email","OK"))</x:f>
        <x:v>OK</x:v>
      </x:c>
      <x:c r="F25" s="85" t="str">
        <x:f>IF('Import Ready'!G25="","Not checked",IF(OR(LEN('Import Ready'!G25)&lt;10,LEN('Import Ready'!G25)&gt;22),"Check phone length","OK"))</x:f>
        <x:v>OK</x:v>
      </x:c>
      <x:c r="G25" s="85" t="str">
        <x:f>IF('Import Ready'!G25="","Not checked",IF(COUNTIF('Import Ready'!$G$5:$G$124,'Import Ready'!G25)&gt;1,"Duplicate phone","OK"))</x:f>
        <x:v>OK</x:v>
      </x:c>
      <x:c r="H25" s="85" t="str">
        <x:f>IF(COUNTIF('Field Rules'!$F$5:$F$9,'Import Ready'!H25)=0,"Check country",IF(COUNTIF('Field Rules'!$G$5:$G$9,'Import Ready'!I25)=0,"Check territory",IF(COUNTIF('Field Rules'!$H$5:$H$9,'Import Ready'!J25)=0,"Check lead source",IF(COUNTIF('Field Rules'!$I$5:$I$9,'Import Ready'!K25)=0,"Check segment",IF(COUNTIF('Field Rules'!$J$5:$J$7,'Import Ready'!L25)=0,"Check account status","OK")))))</x:f>
        <x:v>OK</x:v>
      </x:c>
      <x:c r="I25" s="86" t="str">
        <x:f>IF(B25&lt;&gt;"OK",B25,IF(D25&lt;&gt;"OK",D25,IF(C25&lt;&gt;"OK",C25,IF(E25&lt;&gt;"OK",E25,IF(F25&lt;&gt;"OK",F25,IF(G25&lt;&gt;"OK",G25,IF(H25&lt;&gt;"OK",H25,"Ready")))))))</x:f>
        <x:v>Ready</x:v>
      </x:c>
    </x:row>
    <x:row r="26" ht="21" customHeight="1">
      <x:c r="A26" s="87" t="str">
        <x:f>'Import Ready'!A26</x:f>
        <x:v>C-2022</x:v>
      </x:c>
      <x:c r="B26" s="88" t="str">
        <x:f>IF(OR('Import Ready'!A26="",'Import Ready'!B26="",'Import Ready'!C26="",'Import Ready'!E26="",'Import Ready'!F26="",'Import Ready'!G26="",'Import Ready'!H26="",'Import Ready'!I26="",'Import Ready'!J26="",'Import Ready'!K26="",'Import Ready'!L26="",'Import Ready'!M26="",'Entry Queue'!N26=""),"Missing required field","OK")</x:f>
        <x:v>OK</x:v>
      </x:c>
      <x:c r="C26" s="88" t="str">
        <x:f>IF('Import Ready'!F26="","Not checked",IF(OR(IFERROR(FIND("@",'Import Ready'!F26),0)=0,IFERROR(FIND(".",'Import Ready'!F26,FIND("@",'Import Ready'!F26)+2),0)=0),"Check email","OK"))</x:f>
        <x:v>OK</x:v>
      </x:c>
      <x:c r="D26" s="88" t="str">
        <x:f>IF(A26="","Not checked",IF(COUNTIF($A$5:$A$124,A26)&gt;1,"Duplicate record ID","OK"))</x:f>
        <x:v>OK</x:v>
      </x:c>
      <x:c r="E26" s="88" t="str">
        <x:f>IF('Import Ready'!F26="","Not checked",IF(COUNTIF('Import Ready'!$F$5:$F$124,'Import Ready'!F26)&gt;1,"Duplicate email","OK"))</x:f>
        <x:v>OK</x:v>
      </x:c>
      <x:c r="F26" s="88" t="str">
        <x:f>IF('Import Ready'!G26="","Not checked",IF(OR(LEN('Import Ready'!G26)&lt;10,LEN('Import Ready'!G26)&gt;22),"Check phone length","OK"))</x:f>
        <x:v>OK</x:v>
      </x:c>
      <x:c r="G26" s="88" t="str">
        <x:f>IF('Import Ready'!G26="","Not checked",IF(COUNTIF('Import Ready'!$G$5:$G$124,'Import Ready'!G26)&gt;1,"Duplicate phone","OK"))</x:f>
        <x:v>OK</x:v>
      </x:c>
      <x:c r="H26" s="88" t="str">
        <x:f>IF(COUNTIF('Field Rules'!$F$5:$F$9,'Import Ready'!H26)=0,"Check country",IF(COUNTIF('Field Rules'!$G$5:$G$9,'Import Ready'!I26)=0,"Check territory",IF(COUNTIF('Field Rules'!$H$5:$H$9,'Import Ready'!J26)=0,"Check lead source",IF(COUNTIF('Field Rules'!$I$5:$I$9,'Import Ready'!K26)=0,"Check segment",IF(COUNTIF('Field Rules'!$J$5:$J$7,'Import Ready'!L26)=0,"Check account status","OK")))))</x:f>
        <x:v>OK</x:v>
      </x:c>
      <x:c r="I26" s="89" t="str">
        <x:f>IF(B26&lt;&gt;"OK",B26,IF(D26&lt;&gt;"OK",D26,IF(C26&lt;&gt;"OK",C26,IF(E26&lt;&gt;"OK",E26,IF(F26&lt;&gt;"OK",F26,IF(G26&lt;&gt;"OK",G26,IF(H26&lt;&gt;"OK",H26,"Ready")))))))</x:f>
        <x:v>Ready</x:v>
      </x:c>
    </x:row>
    <x:row r="27" ht="21" customHeight="1">
      <x:c r="A27" s="84" t="str">
        <x:f>'Import Ready'!A27</x:f>
        <x:v>C-2023</x:v>
      </x:c>
      <x:c r="B27" s="85" t="str">
        <x:f>IF(OR('Import Ready'!A27="",'Import Ready'!B27="",'Import Ready'!C27="",'Import Ready'!E27="",'Import Ready'!F27="",'Import Ready'!G27="",'Import Ready'!H27="",'Import Ready'!I27="",'Import Ready'!J27="",'Import Ready'!K27="",'Import Ready'!L27="",'Import Ready'!M27="",'Entry Queue'!N27=""),"Missing required field","OK")</x:f>
        <x:v>OK</x:v>
      </x:c>
      <x:c r="C27" s="85" t="str">
        <x:f>IF('Import Ready'!F27="","Not checked",IF(OR(IFERROR(FIND("@",'Import Ready'!F27),0)=0,IFERROR(FIND(".",'Import Ready'!F27,FIND("@",'Import Ready'!F27)+2),0)=0),"Check email","OK"))</x:f>
        <x:v>OK</x:v>
      </x:c>
      <x:c r="D27" s="85" t="str">
        <x:f>IF(A27="","Not checked",IF(COUNTIF($A$5:$A$124,A27)&gt;1,"Duplicate record ID","OK"))</x:f>
        <x:v>OK</x:v>
      </x:c>
      <x:c r="E27" s="85" t="str">
        <x:f>IF('Import Ready'!F27="","Not checked",IF(COUNTIF('Import Ready'!$F$5:$F$124,'Import Ready'!F27)&gt;1,"Duplicate email","OK"))</x:f>
        <x:v>OK</x:v>
      </x:c>
      <x:c r="F27" s="85" t="str">
        <x:f>IF('Import Ready'!G27="","Not checked",IF(OR(LEN('Import Ready'!G27)&lt;10,LEN('Import Ready'!G27)&gt;22),"Check phone length","OK"))</x:f>
        <x:v>OK</x:v>
      </x:c>
      <x:c r="G27" s="85" t="str">
        <x:f>IF('Import Ready'!G27="","Not checked",IF(COUNTIF('Import Ready'!$G$5:$G$124,'Import Ready'!G27)&gt;1,"Duplicate phone","OK"))</x:f>
        <x:v>OK</x:v>
      </x:c>
      <x:c r="H27" s="85" t="str">
        <x:f>IF(COUNTIF('Field Rules'!$F$5:$F$9,'Import Ready'!H27)=0,"Check country",IF(COUNTIF('Field Rules'!$G$5:$G$9,'Import Ready'!I27)=0,"Check territory",IF(COUNTIF('Field Rules'!$H$5:$H$9,'Import Ready'!J27)=0,"Check lead source",IF(COUNTIF('Field Rules'!$I$5:$I$9,'Import Ready'!K27)=0,"Check segment",IF(COUNTIF('Field Rules'!$J$5:$J$7,'Import Ready'!L27)=0,"Check account status","OK")))))</x:f>
        <x:v>OK</x:v>
      </x:c>
      <x:c r="I27" s="86" t="str">
        <x:f>IF(B27&lt;&gt;"OK",B27,IF(D27&lt;&gt;"OK",D27,IF(C27&lt;&gt;"OK",C27,IF(E27&lt;&gt;"OK",E27,IF(F27&lt;&gt;"OK",F27,IF(G27&lt;&gt;"OK",G27,IF(H27&lt;&gt;"OK",H27,"Ready")))))))</x:f>
        <x:v>Ready</x:v>
      </x:c>
    </x:row>
    <x:row r="28" ht="21" customHeight="1">
      <x:c r="A28" s="87" t="str">
        <x:f>'Import Ready'!A28</x:f>
        <x:v>C-2024</x:v>
      </x:c>
      <x:c r="B28" s="88" t="str">
        <x:f>IF(OR('Import Ready'!A28="",'Import Ready'!B28="",'Import Ready'!C28="",'Import Ready'!E28="",'Import Ready'!F28="",'Import Ready'!G28="",'Import Ready'!H28="",'Import Ready'!I28="",'Import Ready'!J28="",'Import Ready'!K28="",'Import Ready'!L28="",'Import Ready'!M28="",'Entry Queue'!N28=""),"Missing required field","OK")</x:f>
        <x:v>OK</x:v>
      </x:c>
      <x:c r="C28" s="88" t="str">
        <x:f>IF('Import Ready'!F28="","Not checked",IF(OR(IFERROR(FIND("@",'Import Ready'!F28),0)=0,IFERROR(FIND(".",'Import Ready'!F28,FIND("@",'Import Ready'!F28)+2),0)=0),"Check email","OK"))</x:f>
        <x:v>OK</x:v>
      </x:c>
      <x:c r="D28" s="88" t="str">
        <x:f>IF(A28="","Not checked",IF(COUNTIF($A$5:$A$124,A28)&gt;1,"Duplicate record ID","OK"))</x:f>
        <x:v>OK</x:v>
      </x:c>
      <x:c r="E28" s="88" t="str">
        <x:f>IF('Import Ready'!F28="","Not checked",IF(COUNTIF('Import Ready'!$F$5:$F$124,'Import Ready'!F28)&gt;1,"Duplicate email","OK"))</x:f>
        <x:v>OK</x:v>
      </x:c>
      <x:c r="F28" s="88" t="str">
        <x:f>IF('Import Ready'!G28="","Not checked",IF(OR(LEN('Import Ready'!G28)&lt;10,LEN('Import Ready'!G28)&gt;22),"Check phone length","OK"))</x:f>
        <x:v>OK</x:v>
      </x:c>
      <x:c r="G28" s="88" t="str">
        <x:f>IF('Import Ready'!G28="","Not checked",IF(COUNTIF('Import Ready'!$G$5:$G$124,'Import Ready'!G28)&gt;1,"Duplicate phone","OK"))</x:f>
        <x:v>OK</x:v>
      </x:c>
      <x:c r="H28" s="88" t="str">
        <x:f>IF(COUNTIF('Field Rules'!$F$5:$F$9,'Import Ready'!H28)=0,"Check country",IF(COUNTIF('Field Rules'!$G$5:$G$9,'Import Ready'!I28)=0,"Check territory",IF(COUNTIF('Field Rules'!$H$5:$H$9,'Import Ready'!J28)=0,"Check lead source",IF(COUNTIF('Field Rules'!$I$5:$I$9,'Import Ready'!K28)=0,"Check segment",IF(COUNTIF('Field Rules'!$J$5:$J$7,'Import Ready'!L28)=0,"Check account status","OK")))))</x:f>
        <x:v>OK</x:v>
      </x:c>
      <x:c r="I28" s="89" t="str">
        <x:f>IF(B28&lt;&gt;"OK",B28,IF(D28&lt;&gt;"OK",D28,IF(C28&lt;&gt;"OK",C28,IF(E28&lt;&gt;"OK",E28,IF(F28&lt;&gt;"OK",F28,IF(G28&lt;&gt;"OK",G28,IF(H28&lt;&gt;"OK",H28,"Ready")))))))</x:f>
        <x:v>Ready</x:v>
      </x:c>
    </x:row>
    <x:row r="29" ht="21" customHeight="1">
      <x:c r="A29" s="84" t="str">
        <x:f>'Import Ready'!A29</x:f>
        <x:v>C-2025</x:v>
      </x:c>
      <x:c r="B29" s="85" t="str">
        <x:f>IF(OR('Import Ready'!A29="",'Import Ready'!B29="",'Import Ready'!C29="",'Import Ready'!E29="",'Import Ready'!F29="",'Import Ready'!G29="",'Import Ready'!H29="",'Import Ready'!I29="",'Import Ready'!J29="",'Import Ready'!K29="",'Import Ready'!L29="",'Import Ready'!M29="",'Entry Queue'!N29=""),"Missing required field","OK")</x:f>
        <x:v>OK</x:v>
      </x:c>
      <x:c r="C29" s="85" t="str">
        <x:f>IF('Import Ready'!F29="","Not checked",IF(OR(IFERROR(FIND("@",'Import Ready'!F29),0)=0,IFERROR(FIND(".",'Import Ready'!F29,FIND("@",'Import Ready'!F29)+2),0)=0),"Check email","OK"))</x:f>
        <x:v>OK</x:v>
      </x:c>
      <x:c r="D29" s="85" t="str">
        <x:f>IF(A29="","Not checked",IF(COUNTIF($A$5:$A$124,A29)&gt;1,"Duplicate record ID","OK"))</x:f>
        <x:v>OK</x:v>
      </x:c>
      <x:c r="E29" s="85" t="str">
        <x:f>IF('Import Ready'!F29="","Not checked",IF(COUNTIF('Import Ready'!$F$5:$F$124,'Import Ready'!F29)&gt;1,"Duplicate email","OK"))</x:f>
        <x:v>OK</x:v>
      </x:c>
      <x:c r="F29" s="85" t="str">
        <x:f>IF('Import Ready'!G29="","Not checked",IF(OR(LEN('Import Ready'!G29)&lt;10,LEN('Import Ready'!G29)&gt;22),"Check phone length","OK"))</x:f>
        <x:v>OK</x:v>
      </x:c>
      <x:c r="G29" s="85" t="str">
        <x:f>IF('Import Ready'!G29="","Not checked",IF(COUNTIF('Import Ready'!$G$5:$G$124,'Import Ready'!G29)&gt;1,"Duplicate phone","OK"))</x:f>
        <x:v>OK</x:v>
      </x:c>
      <x:c r="H29" s="85" t="str">
        <x:f>IF(COUNTIF('Field Rules'!$F$5:$F$9,'Import Ready'!H29)=0,"Check country",IF(COUNTIF('Field Rules'!$G$5:$G$9,'Import Ready'!I29)=0,"Check territory",IF(COUNTIF('Field Rules'!$H$5:$H$9,'Import Ready'!J29)=0,"Check lead source",IF(COUNTIF('Field Rules'!$I$5:$I$9,'Import Ready'!K29)=0,"Check segment",IF(COUNTIF('Field Rules'!$J$5:$J$7,'Import Ready'!L29)=0,"Check account status","OK")))))</x:f>
        <x:v>OK</x:v>
      </x:c>
      <x:c r="I29" s="86" t="str">
        <x:f>IF(B29&lt;&gt;"OK",B29,IF(D29&lt;&gt;"OK",D29,IF(C29&lt;&gt;"OK",C29,IF(E29&lt;&gt;"OK",E29,IF(F29&lt;&gt;"OK",F29,IF(G29&lt;&gt;"OK",G29,IF(H29&lt;&gt;"OK",H29,"Ready")))))))</x:f>
        <x:v>Ready</x:v>
      </x:c>
    </x:row>
    <x:row r="30" ht="21" customHeight="1">
      <x:c r="A30" s="87" t="str">
        <x:f>'Import Ready'!A30</x:f>
        <x:v>C-2026</x:v>
      </x:c>
      <x:c r="B30" s="88" t="str">
        <x:f>IF(OR('Import Ready'!A30="",'Import Ready'!B30="",'Import Ready'!C30="",'Import Ready'!E30="",'Import Ready'!F30="",'Import Ready'!G30="",'Import Ready'!H30="",'Import Ready'!I30="",'Import Ready'!J30="",'Import Ready'!K30="",'Import Ready'!L30="",'Import Ready'!M30="",'Entry Queue'!N30=""),"Missing required field","OK")</x:f>
        <x:v>OK</x:v>
      </x:c>
      <x:c r="C30" s="88" t="str">
        <x:f>IF('Import Ready'!F30="","Not checked",IF(OR(IFERROR(FIND("@",'Import Ready'!F30),0)=0,IFERROR(FIND(".",'Import Ready'!F30,FIND("@",'Import Ready'!F30)+2),0)=0),"Check email","OK"))</x:f>
        <x:v>OK</x:v>
      </x:c>
      <x:c r="D30" s="88" t="str">
        <x:f>IF(A30="","Not checked",IF(COUNTIF($A$5:$A$124,A30)&gt;1,"Duplicate record ID","OK"))</x:f>
        <x:v>OK</x:v>
      </x:c>
      <x:c r="E30" s="88" t="str">
        <x:f>IF('Import Ready'!F30="","Not checked",IF(COUNTIF('Import Ready'!$F$5:$F$124,'Import Ready'!F30)&gt;1,"Duplicate email","OK"))</x:f>
        <x:v>OK</x:v>
      </x:c>
      <x:c r="F30" s="88" t="str">
        <x:f>IF('Import Ready'!G30="","Not checked",IF(OR(LEN('Import Ready'!G30)&lt;10,LEN('Import Ready'!G30)&gt;22),"Check phone length","OK"))</x:f>
        <x:v>OK</x:v>
      </x:c>
      <x:c r="G30" s="88" t="str">
        <x:f>IF('Import Ready'!G30="","Not checked",IF(COUNTIF('Import Ready'!$G$5:$G$124,'Import Ready'!G30)&gt;1,"Duplicate phone","OK"))</x:f>
        <x:v>OK</x:v>
      </x:c>
      <x:c r="H30" s="88" t="str">
        <x:f>IF(COUNTIF('Field Rules'!$F$5:$F$9,'Import Ready'!H30)=0,"Check country",IF(COUNTIF('Field Rules'!$G$5:$G$9,'Import Ready'!I30)=0,"Check territory",IF(COUNTIF('Field Rules'!$H$5:$H$9,'Import Ready'!J30)=0,"Check lead source",IF(COUNTIF('Field Rules'!$I$5:$I$9,'Import Ready'!K30)=0,"Check segment",IF(COUNTIF('Field Rules'!$J$5:$J$7,'Import Ready'!L30)=0,"Check account status","OK")))))</x:f>
        <x:v>OK</x:v>
      </x:c>
      <x:c r="I30" s="89" t="str">
        <x:f>IF(B30&lt;&gt;"OK",B30,IF(D30&lt;&gt;"OK",D30,IF(C30&lt;&gt;"OK",C30,IF(E30&lt;&gt;"OK",E30,IF(F30&lt;&gt;"OK",F30,IF(G30&lt;&gt;"OK",G30,IF(H30&lt;&gt;"OK",H30,"Ready")))))))</x:f>
        <x:v>Ready</x:v>
      </x:c>
    </x:row>
    <x:row r="31" ht="21" customHeight="1">
      <x:c r="A31" s="84" t="str">
        <x:f>'Import Ready'!A31</x:f>
        <x:v>C-2027</x:v>
      </x:c>
      <x:c r="B31" s="85" t="str">
        <x:f>IF(OR('Import Ready'!A31="",'Import Ready'!B31="",'Import Ready'!C31="",'Import Ready'!E31="",'Import Ready'!F31="",'Import Ready'!G31="",'Import Ready'!H31="",'Import Ready'!I31="",'Import Ready'!J31="",'Import Ready'!K31="",'Import Ready'!L31="",'Import Ready'!M31="",'Entry Queue'!N31=""),"Missing required field","OK")</x:f>
        <x:v>OK</x:v>
      </x:c>
      <x:c r="C31" s="85" t="str">
        <x:f>IF('Import Ready'!F31="","Not checked",IF(OR(IFERROR(FIND("@",'Import Ready'!F31),0)=0,IFERROR(FIND(".",'Import Ready'!F31,FIND("@",'Import Ready'!F31)+2),0)=0),"Check email","OK"))</x:f>
        <x:v>OK</x:v>
      </x:c>
      <x:c r="D31" s="85" t="str">
        <x:f>IF(A31="","Not checked",IF(COUNTIF($A$5:$A$124,A31)&gt;1,"Duplicate record ID","OK"))</x:f>
        <x:v>OK</x:v>
      </x:c>
      <x:c r="E31" s="85" t="str">
        <x:f>IF('Import Ready'!F31="","Not checked",IF(COUNTIF('Import Ready'!$F$5:$F$124,'Import Ready'!F31)&gt;1,"Duplicate email","OK"))</x:f>
        <x:v>OK</x:v>
      </x:c>
      <x:c r="F31" s="85" t="str">
        <x:f>IF('Import Ready'!G31="","Not checked",IF(OR(LEN('Import Ready'!G31)&lt;10,LEN('Import Ready'!G31)&gt;22),"Check phone length","OK"))</x:f>
        <x:v>Check phone length</x:v>
      </x:c>
      <x:c r="G31" s="85" t="str">
        <x:f>IF('Import Ready'!G31="","Not checked",IF(COUNTIF('Import Ready'!$G$5:$G$124,'Import Ready'!G31)&gt;1,"Duplicate phone","OK"))</x:f>
        <x:v>OK</x:v>
      </x:c>
      <x:c r="H31" s="85" t="str">
        <x:f>IF(COUNTIF('Field Rules'!$F$5:$F$9,'Import Ready'!H31)=0,"Check country",IF(COUNTIF('Field Rules'!$G$5:$G$9,'Import Ready'!I31)=0,"Check territory",IF(COUNTIF('Field Rules'!$H$5:$H$9,'Import Ready'!J31)=0,"Check lead source",IF(COUNTIF('Field Rules'!$I$5:$I$9,'Import Ready'!K31)=0,"Check segment",IF(COUNTIF('Field Rules'!$J$5:$J$7,'Import Ready'!L31)=0,"Check account status","OK")))))</x:f>
        <x:v>OK</x:v>
      </x:c>
      <x:c r="I31" s="86" t="str">
        <x:f>IF(B31&lt;&gt;"OK",B31,IF(D31&lt;&gt;"OK",D31,IF(C31&lt;&gt;"OK",C31,IF(E31&lt;&gt;"OK",E31,IF(F31&lt;&gt;"OK",F31,IF(G31&lt;&gt;"OK",G31,IF(H31&lt;&gt;"OK",H31,"Ready")))))))</x:f>
        <x:v>Check phone length</x:v>
      </x:c>
    </x:row>
    <x:row r="32" ht="21" customHeight="1">
      <x:c r="A32" s="87" t="str">
        <x:f>'Import Ready'!A32</x:f>
        <x:v>C-2028</x:v>
      </x:c>
      <x:c r="B32" s="88" t="str">
        <x:f>IF(OR('Import Ready'!A32="",'Import Ready'!B32="",'Import Ready'!C32="",'Import Ready'!E32="",'Import Ready'!F32="",'Import Ready'!G32="",'Import Ready'!H32="",'Import Ready'!I32="",'Import Ready'!J32="",'Import Ready'!K32="",'Import Ready'!L32="",'Import Ready'!M32="",'Entry Queue'!N32=""),"Missing required field","OK")</x:f>
        <x:v>OK</x:v>
      </x:c>
      <x:c r="C32" s="88" t="str">
        <x:f>IF('Import Ready'!F32="","Not checked",IF(OR(IFERROR(FIND("@",'Import Ready'!F32),0)=0,IFERROR(FIND(".",'Import Ready'!F32,FIND("@",'Import Ready'!F32)+2),0)=0),"Check email","OK"))</x:f>
        <x:v>OK</x:v>
      </x:c>
      <x:c r="D32" s="88" t="str">
        <x:f>IF(A32="","Not checked",IF(COUNTIF($A$5:$A$124,A32)&gt;1,"Duplicate record ID","OK"))</x:f>
        <x:v>OK</x:v>
      </x:c>
      <x:c r="E32" s="88" t="str">
        <x:f>IF('Import Ready'!F32="","Not checked",IF(COUNTIF('Import Ready'!$F$5:$F$124,'Import Ready'!F32)&gt;1,"Duplicate email","OK"))</x:f>
        <x:v>OK</x:v>
      </x:c>
      <x:c r="F32" s="88" t="str">
        <x:f>IF('Import Ready'!G32="","Not checked",IF(OR(LEN('Import Ready'!G32)&lt;10,LEN('Import Ready'!G32)&gt;22),"Check phone length","OK"))</x:f>
        <x:v>OK</x:v>
      </x:c>
      <x:c r="G32" s="88" t="str">
        <x:f>IF('Import Ready'!G32="","Not checked",IF(COUNTIF('Import Ready'!$G$5:$G$124,'Import Ready'!G32)&gt;1,"Duplicate phone","OK"))</x:f>
        <x:v>OK</x:v>
      </x:c>
      <x:c r="H32" s="88" t="str">
        <x:f>IF(COUNTIF('Field Rules'!$F$5:$F$9,'Import Ready'!H32)=0,"Check country",IF(COUNTIF('Field Rules'!$G$5:$G$9,'Import Ready'!I32)=0,"Check territory",IF(COUNTIF('Field Rules'!$H$5:$H$9,'Import Ready'!J32)=0,"Check lead source",IF(COUNTIF('Field Rules'!$I$5:$I$9,'Import Ready'!K32)=0,"Check segment",IF(COUNTIF('Field Rules'!$J$5:$J$7,'Import Ready'!L32)=0,"Check account status","OK")))))</x:f>
        <x:v>OK</x:v>
      </x:c>
      <x:c r="I32" s="89" t="str">
        <x:f>IF(B32&lt;&gt;"OK",B32,IF(D32&lt;&gt;"OK",D32,IF(C32&lt;&gt;"OK",C32,IF(E32&lt;&gt;"OK",E32,IF(F32&lt;&gt;"OK",F32,IF(G32&lt;&gt;"OK",G32,IF(H32&lt;&gt;"OK",H32,"Ready")))))))</x:f>
        <x:v>Ready</x:v>
      </x:c>
    </x:row>
    <x:row r="33" ht="21" customHeight="1">
      <x:c r="A33" s="84" t="str">
        <x:f>'Import Ready'!A33</x:f>
        <x:v>C-2029</x:v>
      </x:c>
      <x:c r="B33" s="85" t="str">
        <x:f>IF(OR('Import Ready'!A33="",'Import Ready'!B33="",'Import Ready'!C33="",'Import Ready'!E33="",'Import Ready'!F33="",'Import Ready'!G33="",'Import Ready'!H33="",'Import Ready'!I33="",'Import Ready'!J33="",'Import Ready'!K33="",'Import Ready'!L33="",'Import Ready'!M33="",'Entry Queue'!N33=""),"Missing required field","OK")</x:f>
        <x:v>OK</x:v>
      </x:c>
      <x:c r="C33" s="85" t="str">
        <x:f>IF('Import Ready'!F33="","Not checked",IF(OR(IFERROR(FIND("@",'Import Ready'!F33),0)=0,IFERROR(FIND(".",'Import Ready'!F33,FIND("@",'Import Ready'!F33)+2),0)=0),"Check email","OK"))</x:f>
        <x:v>OK</x:v>
      </x:c>
      <x:c r="D33" s="85" t="str">
        <x:f>IF(A33="","Not checked",IF(COUNTIF($A$5:$A$124,A33)&gt;1,"Duplicate record ID","OK"))</x:f>
        <x:v>OK</x:v>
      </x:c>
      <x:c r="E33" s="85" t="str">
        <x:f>IF('Import Ready'!F33="","Not checked",IF(COUNTIF('Import Ready'!$F$5:$F$124,'Import Ready'!F33)&gt;1,"Duplicate email","OK"))</x:f>
        <x:v>OK</x:v>
      </x:c>
      <x:c r="F33" s="85" t="str">
        <x:f>IF('Import Ready'!G33="","Not checked",IF(OR(LEN('Import Ready'!G33)&lt;10,LEN('Import Ready'!G33)&gt;22),"Check phone length","OK"))</x:f>
        <x:v>OK</x:v>
      </x:c>
      <x:c r="G33" s="85" t="str">
        <x:f>IF('Import Ready'!G33="","Not checked",IF(COUNTIF('Import Ready'!$G$5:$G$124,'Import Ready'!G33)&gt;1,"Duplicate phone","OK"))</x:f>
        <x:v>OK</x:v>
      </x:c>
      <x:c r="H33" s="85" t="str">
        <x:f>IF(COUNTIF('Field Rules'!$F$5:$F$9,'Import Ready'!H33)=0,"Check country",IF(COUNTIF('Field Rules'!$G$5:$G$9,'Import Ready'!I33)=0,"Check territory",IF(COUNTIF('Field Rules'!$H$5:$H$9,'Import Ready'!J33)=0,"Check lead source",IF(COUNTIF('Field Rules'!$I$5:$I$9,'Import Ready'!K33)=0,"Check segment",IF(COUNTIF('Field Rules'!$J$5:$J$7,'Import Ready'!L33)=0,"Check account status","OK")))))</x:f>
        <x:v>OK</x:v>
      </x:c>
      <x:c r="I33" s="86" t="str">
        <x:f>IF(B33&lt;&gt;"OK",B33,IF(D33&lt;&gt;"OK",D33,IF(C33&lt;&gt;"OK",C33,IF(E33&lt;&gt;"OK",E33,IF(F33&lt;&gt;"OK",F33,IF(G33&lt;&gt;"OK",G33,IF(H33&lt;&gt;"OK",H33,"Ready")))))))</x:f>
        <x:v>Ready</x:v>
      </x:c>
    </x:row>
    <x:row r="34" ht="21" customHeight="1">
      <x:c r="A34" s="87" t="str">
        <x:f>'Import Ready'!A34</x:f>
        <x:v>C-2030</x:v>
      </x:c>
      <x:c r="B34" s="88" t="str">
        <x:f>IF(OR('Import Ready'!A34="",'Import Ready'!B34="",'Import Ready'!C34="",'Import Ready'!E34="",'Import Ready'!F34="",'Import Ready'!G34="",'Import Ready'!H34="",'Import Ready'!I34="",'Import Ready'!J34="",'Import Ready'!K34="",'Import Ready'!L34="",'Import Ready'!M34="",'Entry Queue'!N34=""),"Missing required field","OK")</x:f>
        <x:v>OK</x:v>
      </x:c>
      <x:c r="C34" s="88" t="str">
        <x:f>IF('Import Ready'!F34="","Not checked",IF(OR(IFERROR(FIND("@",'Import Ready'!F34),0)=0,IFERROR(FIND(".",'Import Ready'!F34,FIND("@",'Import Ready'!F34)+2),0)=0),"Check email","OK"))</x:f>
        <x:v>OK</x:v>
      </x:c>
      <x:c r="D34" s="88" t="str">
        <x:f>IF(A34="","Not checked",IF(COUNTIF($A$5:$A$124,A34)&gt;1,"Duplicate record ID","OK"))</x:f>
        <x:v>OK</x:v>
      </x:c>
      <x:c r="E34" s="88" t="str">
        <x:f>IF('Import Ready'!F34="","Not checked",IF(COUNTIF('Import Ready'!$F$5:$F$124,'Import Ready'!F34)&gt;1,"Duplicate email","OK"))</x:f>
        <x:v>OK</x:v>
      </x:c>
      <x:c r="F34" s="88" t="str">
        <x:f>IF('Import Ready'!G34="","Not checked",IF(OR(LEN('Import Ready'!G34)&lt;10,LEN('Import Ready'!G34)&gt;22),"Check phone length","OK"))</x:f>
        <x:v>OK</x:v>
      </x:c>
      <x:c r="G34" s="88" t="str">
        <x:f>IF('Import Ready'!G34="","Not checked",IF(COUNTIF('Import Ready'!$G$5:$G$124,'Import Ready'!G34)&gt;1,"Duplicate phone","OK"))</x:f>
        <x:v>OK</x:v>
      </x:c>
      <x:c r="H34" s="88" t="str">
        <x:f>IF(COUNTIF('Field Rules'!$F$5:$F$9,'Import Ready'!H34)=0,"Check country",IF(COUNTIF('Field Rules'!$G$5:$G$9,'Import Ready'!I34)=0,"Check territory",IF(COUNTIF('Field Rules'!$H$5:$H$9,'Import Ready'!J34)=0,"Check lead source",IF(COUNTIF('Field Rules'!$I$5:$I$9,'Import Ready'!K34)=0,"Check segment",IF(COUNTIF('Field Rules'!$J$5:$J$7,'Import Ready'!L34)=0,"Check account status","OK")))))</x:f>
        <x:v>OK</x:v>
      </x:c>
      <x:c r="I34" s="89" t="str">
        <x:f>IF(B34&lt;&gt;"OK",B34,IF(D34&lt;&gt;"OK",D34,IF(C34&lt;&gt;"OK",C34,IF(E34&lt;&gt;"OK",E34,IF(F34&lt;&gt;"OK",F34,IF(G34&lt;&gt;"OK",G34,IF(H34&lt;&gt;"OK",H34,"Ready")))))))</x:f>
        <x:v>Ready</x:v>
      </x:c>
    </x:row>
    <x:row r="35" ht="21" customHeight="1">
      <x:c r="A35" s="84" t="str">
        <x:f>'Import Ready'!A35</x:f>
        <x:v>C-2031</x:v>
      </x:c>
      <x:c r="B35" s="85" t="str">
        <x:f>IF(OR('Import Ready'!A35="",'Import Ready'!B35="",'Import Ready'!C35="",'Import Ready'!E35="",'Import Ready'!F35="",'Import Ready'!G35="",'Import Ready'!H35="",'Import Ready'!I35="",'Import Ready'!J35="",'Import Ready'!K35="",'Import Ready'!L35="",'Import Ready'!M35="",'Entry Queue'!N35=""),"Missing required field","OK")</x:f>
        <x:v>OK</x:v>
      </x:c>
      <x:c r="C35" s="85" t="str">
        <x:f>IF('Import Ready'!F35="","Not checked",IF(OR(IFERROR(FIND("@",'Import Ready'!F35),0)=0,IFERROR(FIND(".",'Import Ready'!F35,FIND("@",'Import Ready'!F35)+2),0)=0),"Check email","OK"))</x:f>
        <x:v>OK</x:v>
      </x:c>
      <x:c r="D35" s="85" t="str">
        <x:f>IF(A35="","Not checked",IF(COUNTIF($A$5:$A$124,A35)&gt;1,"Duplicate record ID","OK"))</x:f>
        <x:v>OK</x:v>
      </x:c>
      <x:c r="E35" s="85" t="str">
        <x:f>IF('Import Ready'!F35="","Not checked",IF(COUNTIF('Import Ready'!$F$5:$F$124,'Import Ready'!F35)&gt;1,"Duplicate email","OK"))</x:f>
        <x:v>OK</x:v>
      </x:c>
      <x:c r="F35" s="85" t="str">
        <x:f>IF('Import Ready'!G35="","Not checked",IF(OR(LEN('Import Ready'!G35)&lt;10,LEN('Import Ready'!G35)&gt;22),"Check phone length","OK"))</x:f>
        <x:v>OK</x:v>
      </x:c>
      <x:c r="G35" s="85" t="str">
        <x:f>IF('Import Ready'!G35="","Not checked",IF(COUNTIF('Import Ready'!$G$5:$G$124,'Import Ready'!G35)&gt;1,"Duplicate phone","OK"))</x:f>
        <x:v>OK</x:v>
      </x:c>
      <x:c r="H35" s="85" t="str">
        <x:f>IF(COUNTIF('Field Rules'!$F$5:$F$9,'Import Ready'!H35)=0,"Check country",IF(COUNTIF('Field Rules'!$G$5:$G$9,'Import Ready'!I35)=0,"Check territory",IF(COUNTIF('Field Rules'!$H$5:$H$9,'Import Ready'!J35)=0,"Check lead source",IF(COUNTIF('Field Rules'!$I$5:$I$9,'Import Ready'!K35)=0,"Check segment",IF(COUNTIF('Field Rules'!$J$5:$J$7,'Import Ready'!L35)=0,"Check account status","OK")))))</x:f>
        <x:v>OK</x:v>
      </x:c>
      <x:c r="I35" s="86" t="str">
        <x:f>IF(B35&lt;&gt;"OK",B35,IF(D35&lt;&gt;"OK",D35,IF(C35&lt;&gt;"OK",C35,IF(E35&lt;&gt;"OK",E35,IF(F35&lt;&gt;"OK",F35,IF(G35&lt;&gt;"OK",G35,IF(H35&lt;&gt;"OK",H35,"Ready")))))))</x:f>
        <x:v>Ready</x:v>
      </x:c>
    </x:row>
    <x:row r="36" ht="21" customHeight="1">
      <x:c r="A36" s="87" t="str">
        <x:f>'Import Ready'!A36</x:f>
        <x:v>C-2001</x:v>
      </x:c>
      <x:c r="B36" s="88" t="str">
        <x:f>IF(OR('Import Ready'!A36="",'Import Ready'!B36="",'Import Ready'!C36="",'Import Ready'!E36="",'Import Ready'!F36="",'Import Ready'!G36="",'Import Ready'!H36="",'Import Ready'!I36="",'Import Ready'!J36="",'Import Ready'!K36="",'Import Ready'!L36="",'Import Ready'!M36="",'Entry Queue'!N36=""),"Missing required field","OK")</x:f>
        <x:v>OK</x:v>
      </x:c>
      <x:c r="C36" s="88" t="str">
        <x:f>IF('Import Ready'!F36="","Not checked",IF(OR(IFERROR(FIND("@",'Import Ready'!F36),0)=0,IFERROR(FIND(".",'Import Ready'!F36,FIND("@",'Import Ready'!F36)+2),0)=0),"Check email","OK"))</x:f>
        <x:v>OK</x:v>
      </x:c>
      <x:c r="D36" s="88" t="str">
        <x:f>IF(A36="","Not checked",IF(COUNTIF($A$5:$A$124,A36)&gt;1,"Duplicate record ID","OK"))</x:f>
        <x:v>Duplicate record ID</x:v>
      </x:c>
      <x:c r="E36" s="88" t="str">
        <x:f>IF('Import Ready'!F36="","Not checked",IF(COUNTIF('Import Ready'!$F$5:$F$124,'Import Ready'!F36)&gt;1,"Duplicate email","OK"))</x:f>
        <x:v>OK</x:v>
      </x:c>
      <x:c r="F36" s="88" t="str">
        <x:f>IF('Import Ready'!G36="","Not checked",IF(OR(LEN('Import Ready'!G36)&lt;10,LEN('Import Ready'!G36)&gt;22),"Check phone length","OK"))</x:f>
        <x:v>OK</x:v>
      </x:c>
      <x:c r="G36" s="88" t="str">
        <x:f>IF('Import Ready'!G36="","Not checked",IF(COUNTIF('Import Ready'!$G$5:$G$124,'Import Ready'!G36)&gt;1,"Duplicate phone","OK"))</x:f>
        <x:v>OK</x:v>
      </x:c>
      <x:c r="H36" s="88" t="str">
        <x:f>IF(COUNTIF('Field Rules'!$F$5:$F$9,'Import Ready'!H36)=0,"Check country",IF(COUNTIF('Field Rules'!$G$5:$G$9,'Import Ready'!I36)=0,"Check territory",IF(COUNTIF('Field Rules'!$H$5:$H$9,'Import Ready'!J36)=0,"Check lead source",IF(COUNTIF('Field Rules'!$I$5:$I$9,'Import Ready'!K36)=0,"Check segment",IF(COUNTIF('Field Rules'!$J$5:$J$7,'Import Ready'!L36)=0,"Check account status","OK")))))</x:f>
        <x:v>OK</x:v>
      </x:c>
      <x:c r="I36" s="89" t="str">
        <x:f>IF(B36&lt;&gt;"OK",B36,IF(D36&lt;&gt;"OK",D36,IF(C36&lt;&gt;"OK",C36,IF(E36&lt;&gt;"OK",E36,IF(F36&lt;&gt;"OK",F36,IF(G36&lt;&gt;"OK",G36,IF(H36&lt;&gt;"OK",H36,"Ready")))))))</x:f>
        <x:v>Duplicate record ID</x:v>
      </x:c>
    </x:row>
    <x:row r="37" ht="21" customHeight="1">
      <x:c r="A37" s="84" t="str">
        <x:f>'Import Ready'!A37</x:f>
        <x:v>C-2033</x:v>
      </x:c>
      <x:c r="B37" s="85" t="str">
        <x:f>IF(OR('Import Ready'!A37="",'Import Ready'!B37="",'Import Ready'!C37="",'Import Ready'!E37="",'Import Ready'!F37="",'Import Ready'!G37="",'Import Ready'!H37="",'Import Ready'!I37="",'Import Ready'!J37="",'Import Ready'!K37="",'Import Ready'!L37="",'Import Ready'!M37="",'Entry Queue'!N37=""),"Missing required field","OK")</x:f>
        <x:v>OK</x:v>
      </x:c>
      <x:c r="C37" s="85" t="str">
        <x:f>IF('Import Ready'!F37="","Not checked",IF(OR(IFERROR(FIND("@",'Import Ready'!F37),0)=0,IFERROR(FIND(".",'Import Ready'!F37,FIND("@",'Import Ready'!F37)+2),0)=0),"Check email","OK"))</x:f>
        <x:v>OK</x:v>
      </x:c>
      <x:c r="D37" s="85" t="str">
        <x:f>IF(A37="","Not checked",IF(COUNTIF($A$5:$A$124,A37)&gt;1,"Duplicate record ID","OK"))</x:f>
        <x:v>OK</x:v>
      </x:c>
      <x:c r="E37" s="85" t="str">
        <x:f>IF('Import Ready'!F37="","Not checked",IF(COUNTIF('Import Ready'!$F$5:$F$124,'Import Ready'!F37)&gt;1,"Duplicate email","OK"))</x:f>
        <x:v>OK</x:v>
      </x:c>
      <x:c r="F37" s="85" t="str">
        <x:f>IF('Import Ready'!G37="","Not checked",IF(OR(LEN('Import Ready'!G37)&lt;10,LEN('Import Ready'!G37)&gt;22),"Check phone length","OK"))</x:f>
        <x:v>OK</x:v>
      </x:c>
      <x:c r="G37" s="85" t="str">
        <x:f>IF('Import Ready'!G37="","Not checked",IF(COUNTIF('Import Ready'!$G$5:$G$124,'Import Ready'!G37)&gt;1,"Duplicate phone","OK"))</x:f>
        <x:v>OK</x:v>
      </x:c>
      <x:c r="H37" s="85" t="str">
        <x:f>IF(COUNTIF('Field Rules'!$F$5:$F$9,'Import Ready'!H37)=0,"Check country",IF(COUNTIF('Field Rules'!$G$5:$G$9,'Import Ready'!I37)=0,"Check territory",IF(COUNTIF('Field Rules'!$H$5:$H$9,'Import Ready'!J37)=0,"Check lead source",IF(COUNTIF('Field Rules'!$I$5:$I$9,'Import Ready'!K37)=0,"Check segment",IF(COUNTIF('Field Rules'!$J$5:$J$7,'Import Ready'!L37)=0,"Check account status","OK")))))</x:f>
        <x:v>OK</x:v>
      </x:c>
      <x:c r="I37" s="86" t="str">
        <x:f>IF(B37&lt;&gt;"OK",B37,IF(D37&lt;&gt;"OK",D37,IF(C37&lt;&gt;"OK",C37,IF(E37&lt;&gt;"OK",E37,IF(F37&lt;&gt;"OK",F37,IF(G37&lt;&gt;"OK",G37,IF(H37&lt;&gt;"OK",H37,"Ready")))))))</x:f>
        <x:v>Ready</x:v>
      </x:c>
    </x:row>
    <x:row r="38" ht="21" customHeight="1">
      <x:c r="A38" s="87" t="str">
        <x:f>'Import Ready'!A38</x:f>
        <x:v>C-2034</x:v>
      </x:c>
      <x:c r="B38" s="88" t="str">
        <x:f>IF(OR('Import Ready'!A38="",'Import Ready'!B38="",'Import Ready'!C38="",'Import Ready'!E38="",'Import Ready'!F38="",'Import Ready'!G38="",'Import Ready'!H38="",'Import Ready'!I38="",'Import Ready'!J38="",'Import Ready'!K38="",'Import Ready'!L38="",'Import Ready'!M38="",'Entry Queue'!N38=""),"Missing required field","OK")</x:f>
        <x:v>OK</x:v>
      </x:c>
      <x:c r="C38" s="88" t="str">
        <x:f>IF('Import Ready'!F38="","Not checked",IF(OR(IFERROR(FIND("@",'Import Ready'!F38),0)=0,IFERROR(FIND(".",'Import Ready'!F38,FIND("@",'Import Ready'!F38)+2),0)=0),"Check email","OK"))</x:f>
        <x:v>OK</x:v>
      </x:c>
      <x:c r="D38" s="88" t="str">
        <x:f>IF(A38="","Not checked",IF(COUNTIF($A$5:$A$124,A38)&gt;1,"Duplicate record ID","OK"))</x:f>
        <x:v>OK</x:v>
      </x:c>
      <x:c r="E38" s="88" t="str">
        <x:f>IF('Import Ready'!F38="","Not checked",IF(COUNTIF('Import Ready'!$F$5:$F$124,'Import Ready'!F38)&gt;1,"Duplicate email","OK"))</x:f>
        <x:v>OK</x:v>
      </x:c>
      <x:c r="F38" s="88" t="str">
        <x:f>IF('Import Ready'!G38="","Not checked",IF(OR(LEN('Import Ready'!G38)&lt;10,LEN('Import Ready'!G38)&gt;22),"Check phone length","OK"))</x:f>
        <x:v>OK</x:v>
      </x:c>
      <x:c r="G38" s="88" t="str">
        <x:f>IF('Import Ready'!G38="","Not checked",IF(COUNTIF('Import Ready'!$G$5:$G$124,'Import Ready'!G38)&gt;1,"Duplicate phone","OK"))</x:f>
        <x:v>OK</x:v>
      </x:c>
      <x:c r="H38" s="88" t="str">
        <x:f>IF(COUNTIF('Field Rules'!$F$5:$F$9,'Import Ready'!H38)=0,"Check country",IF(COUNTIF('Field Rules'!$G$5:$G$9,'Import Ready'!I38)=0,"Check territory",IF(COUNTIF('Field Rules'!$H$5:$H$9,'Import Ready'!J38)=0,"Check lead source",IF(COUNTIF('Field Rules'!$I$5:$I$9,'Import Ready'!K38)=0,"Check segment",IF(COUNTIF('Field Rules'!$J$5:$J$7,'Import Ready'!L38)=0,"Check account status","OK")))))</x:f>
        <x:v>OK</x:v>
      </x:c>
      <x:c r="I38" s="89" t="str">
        <x:f>IF(B38&lt;&gt;"OK",B38,IF(D38&lt;&gt;"OK",D38,IF(C38&lt;&gt;"OK",C38,IF(E38&lt;&gt;"OK",E38,IF(F38&lt;&gt;"OK",F38,IF(G38&lt;&gt;"OK",G38,IF(H38&lt;&gt;"OK",H38,"Ready")))))))</x:f>
        <x:v>Ready</x:v>
      </x:c>
    </x:row>
    <x:row r="39" ht="21" customHeight="1">
      <x:c r="A39" s="84" t="str">
        <x:f>'Import Ready'!A39</x:f>
        <x:v>C-2035</x:v>
      </x:c>
      <x:c r="B39" s="85" t="str">
        <x:f>IF(OR('Import Ready'!A39="",'Import Ready'!B39="",'Import Ready'!C39="",'Import Ready'!E39="",'Import Ready'!F39="",'Import Ready'!G39="",'Import Ready'!H39="",'Import Ready'!I39="",'Import Ready'!J39="",'Import Ready'!K39="",'Import Ready'!L39="",'Import Ready'!M39="",'Entry Queue'!N39=""),"Missing required field","OK")</x:f>
        <x:v>OK</x:v>
      </x:c>
      <x:c r="C39" s="85" t="str">
        <x:f>IF('Import Ready'!F39="","Not checked",IF(OR(IFERROR(FIND("@",'Import Ready'!F39),0)=0,IFERROR(FIND(".",'Import Ready'!F39,FIND("@",'Import Ready'!F39)+2),0)=0),"Check email","OK"))</x:f>
        <x:v>OK</x:v>
      </x:c>
      <x:c r="D39" s="85" t="str">
        <x:f>IF(A39="","Not checked",IF(COUNTIF($A$5:$A$124,A39)&gt;1,"Duplicate record ID","OK"))</x:f>
        <x:v>OK</x:v>
      </x:c>
      <x:c r="E39" s="85" t="str">
        <x:f>IF('Import Ready'!F39="","Not checked",IF(COUNTIF('Import Ready'!$F$5:$F$124,'Import Ready'!F39)&gt;1,"Duplicate email","OK"))</x:f>
        <x:v>OK</x:v>
      </x:c>
      <x:c r="F39" s="85" t="str">
        <x:f>IF('Import Ready'!G39="","Not checked",IF(OR(LEN('Import Ready'!G39)&lt;10,LEN('Import Ready'!G39)&gt;22),"Check phone length","OK"))</x:f>
        <x:v>OK</x:v>
      </x:c>
      <x:c r="G39" s="85" t="str">
        <x:f>IF('Import Ready'!G39="","Not checked",IF(COUNTIF('Import Ready'!$G$5:$G$124,'Import Ready'!G39)&gt;1,"Duplicate phone","OK"))</x:f>
        <x:v>OK</x:v>
      </x:c>
      <x:c r="H39" s="85" t="str">
        <x:f>IF(COUNTIF('Field Rules'!$F$5:$F$9,'Import Ready'!H39)=0,"Check country",IF(COUNTIF('Field Rules'!$G$5:$G$9,'Import Ready'!I39)=0,"Check territory",IF(COUNTIF('Field Rules'!$H$5:$H$9,'Import Ready'!J39)=0,"Check lead source",IF(COUNTIF('Field Rules'!$I$5:$I$9,'Import Ready'!K39)=0,"Check segment",IF(COUNTIF('Field Rules'!$J$5:$J$7,'Import Ready'!L39)=0,"Check account status","OK")))))</x:f>
        <x:v>OK</x:v>
      </x:c>
      <x:c r="I39" s="86" t="str">
        <x:f>IF(B39&lt;&gt;"OK",B39,IF(D39&lt;&gt;"OK",D39,IF(C39&lt;&gt;"OK",C39,IF(E39&lt;&gt;"OK",E39,IF(F39&lt;&gt;"OK",F39,IF(G39&lt;&gt;"OK",G39,IF(H39&lt;&gt;"OK",H39,"Ready")))))))</x:f>
        <x:v>Ready</x:v>
      </x:c>
    </x:row>
    <x:row r="40" ht="21" customHeight="1">
      <x:c r="A40" s="87" t="str">
        <x:f>'Import Ready'!A40</x:f>
        <x:v>C-2036</x:v>
      </x:c>
      <x:c r="B40" s="88" t="str">
        <x:f>IF(OR('Import Ready'!A40="",'Import Ready'!B40="",'Import Ready'!C40="",'Import Ready'!E40="",'Import Ready'!F40="",'Import Ready'!G40="",'Import Ready'!H40="",'Import Ready'!I40="",'Import Ready'!J40="",'Import Ready'!K40="",'Import Ready'!L40="",'Import Ready'!M40="",'Entry Queue'!N40=""),"Missing required field","OK")</x:f>
        <x:v>Missing required field</x:v>
      </x:c>
      <x:c r="C40" s="88" t="str">
        <x:f>IF('Import Ready'!F40="","Not checked",IF(OR(IFERROR(FIND("@",'Import Ready'!F40),0)=0,IFERROR(FIND(".",'Import Ready'!F40,FIND("@",'Import Ready'!F40)+2),0)=0),"Check email","OK"))</x:f>
        <x:v>OK</x:v>
      </x:c>
      <x:c r="D40" s="88" t="str">
        <x:f>IF(A40="","Not checked",IF(COUNTIF($A$5:$A$124,A40)&gt;1,"Duplicate record ID","OK"))</x:f>
        <x:v>OK</x:v>
      </x:c>
      <x:c r="E40" s="88" t="str">
        <x:f>IF('Import Ready'!F40="","Not checked",IF(COUNTIF('Import Ready'!$F$5:$F$124,'Import Ready'!F40)&gt;1,"Duplicate email","OK"))</x:f>
        <x:v>OK</x:v>
      </x:c>
      <x:c r="F40" s="88" t="str">
        <x:f>IF('Import Ready'!G40="","Not checked",IF(OR(LEN('Import Ready'!G40)&lt;10,LEN('Import Ready'!G40)&gt;22),"Check phone length","OK"))</x:f>
        <x:v>OK</x:v>
      </x:c>
      <x:c r="G40" s="88" t="str">
        <x:f>IF('Import Ready'!G40="","Not checked",IF(COUNTIF('Import Ready'!$G$5:$G$124,'Import Ready'!G40)&gt;1,"Duplicate phone","OK"))</x:f>
        <x:v>OK</x:v>
      </x:c>
      <x:c r="H40" s="88" t="str">
        <x:f>IF(COUNTIF('Field Rules'!$F$5:$F$9,'Import Ready'!H40)=0,"Check country",IF(COUNTIF('Field Rules'!$G$5:$G$9,'Import Ready'!I40)=0,"Check territory",IF(COUNTIF('Field Rules'!$H$5:$H$9,'Import Ready'!J40)=0,"Check lead source",IF(COUNTIF('Field Rules'!$I$5:$I$9,'Import Ready'!K40)=0,"Check segment",IF(COUNTIF('Field Rules'!$J$5:$J$7,'Import Ready'!L40)=0,"Check account status","OK")))))</x:f>
        <x:v>OK</x:v>
      </x:c>
      <x:c r="I40" s="89" t="str">
        <x:f>IF(B40&lt;&gt;"OK",B40,IF(D40&lt;&gt;"OK",D40,IF(C40&lt;&gt;"OK",C40,IF(E40&lt;&gt;"OK",E40,IF(F40&lt;&gt;"OK",F40,IF(G40&lt;&gt;"OK",G40,IF(H40&lt;&gt;"OK",H40,"Ready")))))))</x:f>
        <x:v>Missing required field</x:v>
      </x:c>
    </x:row>
    <x:row r="41" ht="21" customHeight="1">
      <x:c r="A41" s="84" t="str">
        <x:f>'Import Ready'!A41</x:f>
        <x:v>C-2037</x:v>
      </x:c>
      <x:c r="B41" s="85" t="str">
        <x:f>IF(OR('Import Ready'!A41="",'Import Ready'!B41="",'Import Ready'!C41="",'Import Ready'!E41="",'Import Ready'!F41="",'Import Ready'!G41="",'Import Ready'!H41="",'Import Ready'!I41="",'Import Ready'!J41="",'Import Ready'!K41="",'Import Ready'!L41="",'Import Ready'!M41="",'Entry Queue'!N41=""),"Missing required field","OK")</x:f>
        <x:v>OK</x:v>
      </x:c>
      <x:c r="C41" s="85" t="str">
        <x:f>IF('Import Ready'!F41="","Not checked",IF(OR(IFERROR(FIND("@",'Import Ready'!F41),0)=0,IFERROR(FIND(".",'Import Ready'!F41,FIND("@",'Import Ready'!F41)+2),0)=0),"Check email","OK"))</x:f>
        <x:v>OK</x:v>
      </x:c>
      <x:c r="D41" s="85" t="str">
        <x:f>IF(A41="","Not checked",IF(COUNTIF($A$5:$A$124,A41)&gt;1,"Duplicate record ID","OK"))</x:f>
        <x:v>OK</x:v>
      </x:c>
      <x:c r="E41" s="85" t="str">
        <x:f>IF('Import Ready'!F41="","Not checked",IF(COUNTIF('Import Ready'!$F$5:$F$124,'Import Ready'!F41)&gt;1,"Duplicate email","OK"))</x:f>
        <x:v>OK</x:v>
      </x:c>
      <x:c r="F41" s="85" t="str">
        <x:f>IF('Import Ready'!G41="","Not checked",IF(OR(LEN('Import Ready'!G41)&lt;10,LEN('Import Ready'!G41)&gt;22),"Check phone length","OK"))</x:f>
        <x:v>OK</x:v>
      </x:c>
      <x:c r="G41" s="85" t="str">
        <x:f>IF('Import Ready'!G41="","Not checked",IF(COUNTIF('Import Ready'!$G$5:$G$124,'Import Ready'!G41)&gt;1,"Duplicate phone","OK"))</x:f>
        <x:v>OK</x:v>
      </x:c>
      <x:c r="H41" s="85" t="str">
        <x:f>IF(COUNTIF('Field Rules'!$F$5:$F$9,'Import Ready'!H41)=0,"Check country",IF(COUNTIF('Field Rules'!$G$5:$G$9,'Import Ready'!I41)=0,"Check territory",IF(COUNTIF('Field Rules'!$H$5:$H$9,'Import Ready'!J41)=0,"Check lead source",IF(COUNTIF('Field Rules'!$I$5:$I$9,'Import Ready'!K41)=0,"Check segment",IF(COUNTIF('Field Rules'!$J$5:$J$7,'Import Ready'!L41)=0,"Check account status","OK")))))</x:f>
        <x:v>OK</x:v>
      </x:c>
      <x:c r="I41" s="86" t="str">
        <x:f>IF(B41&lt;&gt;"OK",B41,IF(D41&lt;&gt;"OK",D41,IF(C41&lt;&gt;"OK",C41,IF(E41&lt;&gt;"OK",E41,IF(F41&lt;&gt;"OK",F41,IF(G41&lt;&gt;"OK",G41,IF(H41&lt;&gt;"OK",H41,"Ready")))))))</x:f>
        <x:v>Ready</x:v>
      </x:c>
    </x:row>
    <x:row r="42" ht="21" customHeight="1">
      <x:c r="A42" s="87" t="str">
        <x:f>'Import Ready'!A42</x:f>
        <x:v>C-2038</x:v>
      </x:c>
      <x:c r="B42" s="88" t="str">
        <x:f>IF(OR('Import Ready'!A42="",'Import Ready'!B42="",'Import Ready'!C42="",'Import Ready'!E42="",'Import Ready'!F42="",'Import Ready'!G42="",'Import Ready'!H42="",'Import Ready'!I42="",'Import Ready'!J42="",'Import Ready'!K42="",'Import Ready'!L42="",'Import Ready'!M42="",'Entry Queue'!N42=""),"Missing required field","OK")</x:f>
        <x:v>OK</x:v>
      </x:c>
      <x:c r="C42" s="88" t="str">
        <x:f>IF('Import Ready'!F42="","Not checked",IF(OR(IFERROR(FIND("@",'Import Ready'!F42),0)=0,IFERROR(FIND(".",'Import Ready'!F42,FIND("@",'Import Ready'!F42)+2),0)=0),"Check email","OK"))</x:f>
        <x:v>OK</x:v>
      </x:c>
      <x:c r="D42" s="88" t="str">
        <x:f>IF(A42="","Not checked",IF(COUNTIF($A$5:$A$124,A42)&gt;1,"Duplicate record ID","OK"))</x:f>
        <x:v>OK</x:v>
      </x:c>
      <x:c r="E42" s="88" t="str">
        <x:f>IF('Import Ready'!F42="","Not checked",IF(COUNTIF('Import Ready'!$F$5:$F$124,'Import Ready'!F42)&gt;1,"Duplicate email","OK"))</x:f>
        <x:v>OK</x:v>
      </x:c>
      <x:c r="F42" s="88" t="str">
        <x:f>IF('Import Ready'!G42="","Not checked",IF(OR(LEN('Import Ready'!G42)&lt;10,LEN('Import Ready'!G42)&gt;22),"Check phone length","OK"))</x:f>
        <x:v>OK</x:v>
      </x:c>
      <x:c r="G42" s="88" t="str">
        <x:f>IF('Import Ready'!G42="","Not checked",IF(COUNTIF('Import Ready'!$G$5:$G$124,'Import Ready'!G42)&gt;1,"Duplicate phone","OK"))</x:f>
        <x:v>OK</x:v>
      </x:c>
      <x:c r="H42" s="88" t="str">
        <x:f>IF(COUNTIF('Field Rules'!$F$5:$F$9,'Import Ready'!H42)=0,"Check country",IF(COUNTIF('Field Rules'!$G$5:$G$9,'Import Ready'!I42)=0,"Check territory",IF(COUNTIF('Field Rules'!$H$5:$H$9,'Import Ready'!J42)=0,"Check lead source",IF(COUNTIF('Field Rules'!$I$5:$I$9,'Import Ready'!K42)=0,"Check segment",IF(COUNTIF('Field Rules'!$J$5:$J$7,'Import Ready'!L42)=0,"Check account status","OK")))))</x:f>
        <x:v>OK</x:v>
      </x:c>
      <x:c r="I42" s="89" t="str">
        <x:f>IF(B42&lt;&gt;"OK",B42,IF(D42&lt;&gt;"OK",D42,IF(C42&lt;&gt;"OK",C42,IF(E42&lt;&gt;"OK",E42,IF(F42&lt;&gt;"OK",F42,IF(G42&lt;&gt;"OK",G42,IF(H42&lt;&gt;"OK",H42,"Ready")))))))</x:f>
        <x:v>Ready</x:v>
      </x:c>
    </x:row>
    <x:row r="43" ht="21" customHeight="1">
      <x:c r="A43" s="84" t="str">
        <x:f>'Import Ready'!A43</x:f>
        <x:v>C-2039</x:v>
      </x:c>
      <x:c r="B43" s="85" t="str">
        <x:f>IF(OR('Import Ready'!A43="",'Import Ready'!B43="",'Import Ready'!C43="",'Import Ready'!E43="",'Import Ready'!F43="",'Import Ready'!G43="",'Import Ready'!H43="",'Import Ready'!I43="",'Import Ready'!J43="",'Import Ready'!K43="",'Import Ready'!L43="",'Import Ready'!M43="",'Entry Queue'!N43=""),"Missing required field","OK")</x:f>
        <x:v>OK</x:v>
      </x:c>
      <x:c r="C43" s="85" t="str">
        <x:f>IF('Import Ready'!F43="","Not checked",IF(OR(IFERROR(FIND("@",'Import Ready'!F43),0)=0,IFERROR(FIND(".",'Import Ready'!F43,FIND("@",'Import Ready'!F43)+2),0)=0),"Check email","OK"))</x:f>
        <x:v>OK</x:v>
      </x:c>
      <x:c r="D43" s="85" t="str">
        <x:f>IF(A43="","Not checked",IF(COUNTIF($A$5:$A$124,A43)&gt;1,"Duplicate record ID","OK"))</x:f>
        <x:v>OK</x:v>
      </x:c>
      <x:c r="E43" s="85" t="str">
        <x:f>IF('Import Ready'!F43="","Not checked",IF(COUNTIF('Import Ready'!$F$5:$F$124,'Import Ready'!F43)&gt;1,"Duplicate email","OK"))</x:f>
        <x:v>OK</x:v>
      </x:c>
      <x:c r="F43" s="85" t="str">
        <x:f>IF('Import Ready'!G43="","Not checked",IF(OR(LEN('Import Ready'!G43)&lt;10,LEN('Import Ready'!G43)&gt;22),"Check phone length","OK"))</x:f>
        <x:v>OK</x:v>
      </x:c>
      <x:c r="G43" s="85" t="str">
        <x:f>IF('Import Ready'!G43="","Not checked",IF(COUNTIF('Import Ready'!$G$5:$G$124,'Import Ready'!G43)&gt;1,"Duplicate phone","OK"))</x:f>
        <x:v>OK</x:v>
      </x:c>
      <x:c r="H43" s="85" t="str">
        <x:f>IF(COUNTIF('Field Rules'!$F$5:$F$9,'Import Ready'!H43)=0,"Check country",IF(COUNTIF('Field Rules'!$G$5:$G$9,'Import Ready'!I43)=0,"Check territory",IF(COUNTIF('Field Rules'!$H$5:$H$9,'Import Ready'!J43)=0,"Check lead source",IF(COUNTIF('Field Rules'!$I$5:$I$9,'Import Ready'!K43)=0,"Check segment",IF(COUNTIF('Field Rules'!$J$5:$J$7,'Import Ready'!L43)=0,"Check account status","OK")))))</x:f>
        <x:v>OK</x:v>
      </x:c>
      <x:c r="I43" s="86" t="str">
        <x:f>IF(B43&lt;&gt;"OK",B43,IF(D43&lt;&gt;"OK",D43,IF(C43&lt;&gt;"OK",C43,IF(E43&lt;&gt;"OK",E43,IF(F43&lt;&gt;"OK",F43,IF(G43&lt;&gt;"OK",G43,IF(H43&lt;&gt;"OK",H43,"Ready")))))))</x:f>
        <x:v>Ready</x:v>
      </x:c>
    </x:row>
    <x:row r="44" ht="21" customHeight="1">
      <x:c r="A44" s="87" t="str">
        <x:f>'Import Ready'!A44</x:f>
        <x:v>C-2040</x:v>
      </x:c>
      <x:c r="B44" s="88" t="str">
        <x:f>IF(OR('Import Ready'!A44="",'Import Ready'!B44="",'Import Ready'!C44="",'Import Ready'!E44="",'Import Ready'!F44="",'Import Ready'!G44="",'Import Ready'!H44="",'Import Ready'!I44="",'Import Ready'!J44="",'Import Ready'!K44="",'Import Ready'!L44="",'Import Ready'!M44="",'Entry Queue'!N44=""),"Missing required field","OK")</x:f>
        <x:v>OK</x:v>
      </x:c>
      <x:c r="C44" s="88" t="str">
        <x:f>IF('Import Ready'!F44="","Not checked",IF(OR(IFERROR(FIND("@",'Import Ready'!F44),0)=0,IFERROR(FIND(".",'Import Ready'!F44,FIND("@",'Import Ready'!F44)+2),0)=0),"Check email","OK"))</x:f>
        <x:v>OK</x:v>
      </x:c>
      <x:c r="D44" s="88" t="str">
        <x:f>IF(A44="","Not checked",IF(COUNTIF($A$5:$A$124,A44)&gt;1,"Duplicate record ID","OK"))</x:f>
        <x:v>OK</x:v>
      </x:c>
      <x:c r="E44" s="88" t="str">
        <x:f>IF('Import Ready'!F44="","Not checked",IF(COUNTIF('Import Ready'!$F$5:$F$124,'Import Ready'!F44)&gt;1,"Duplicate email","OK"))</x:f>
        <x:v>OK</x:v>
      </x:c>
      <x:c r="F44" s="88" t="str">
        <x:f>IF('Import Ready'!G44="","Not checked",IF(OR(LEN('Import Ready'!G44)&lt;10,LEN('Import Ready'!G44)&gt;22),"Check phone length","OK"))</x:f>
        <x:v>OK</x:v>
      </x:c>
      <x:c r="G44" s="88" t="str">
        <x:f>IF('Import Ready'!G44="","Not checked",IF(COUNTIF('Import Ready'!$G$5:$G$124,'Import Ready'!G44)&gt;1,"Duplicate phone","OK"))</x:f>
        <x:v>OK</x:v>
      </x:c>
      <x:c r="H44" s="88" t="str">
        <x:f>IF(COUNTIF('Field Rules'!$F$5:$F$9,'Import Ready'!H44)=0,"Check country",IF(COUNTIF('Field Rules'!$G$5:$G$9,'Import Ready'!I44)=0,"Check territory",IF(COUNTIF('Field Rules'!$H$5:$H$9,'Import Ready'!J44)=0,"Check lead source",IF(COUNTIF('Field Rules'!$I$5:$I$9,'Import Ready'!K44)=0,"Check segment",IF(COUNTIF('Field Rules'!$J$5:$J$7,'Import Ready'!L44)=0,"Check account status","OK")))))</x:f>
        <x:v>OK</x:v>
      </x:c>
      <x:c r="I44" s="89" t="str">
        <x:f>IF(B44&lt;&gt;"OK",B44,IF(D44&lt;&gt;"OK",D44,IF(C44&lt;&gt;"OK",C44,IF(E44&lt;&gt;"OK",E44,IF(F44&lt;&gt;"OK",F44,IF(G44&lt;&gt;"OK",G44,IF(H44&lt;&gt;"OK",H44,"Ready")))))))</x:f>
        <x:v>Ready</x:v>
      </x:c>
    </x:row>
    <x:row r="45" ht="21" customHeight="1">
      <x:c r="A45" s="84" t="str">
        <x:f>'Import Ready'!A45</x:f>
        <x:v>C-2041</x:v>
      </x:c>
      <x:c r="B45" s="85" t="str">
        <x:f>IF(OR('Import Ready'!A45="",'Import Ready'!B45="",'Import Ready'!C45="",'Import Ready'!E45="",'Import Ready'!F45="",'Import Ready'!G45="",'Import Ready'!H45="",'Import Ready'!I45="",'Import Ready'!J45="",'Import Ready'!K45="",'Import Ready'!L45="",'Import Ready'!M45="",'Entry Queue'!N45=""),"Missing required field","OK")</x:f>
        <x:v>Missing required field</x:v>
      </x:c>
      <x:c r="C45" s="85" t="str">
        <x:f>IF('Import Ready'!F45="","Not checked",IF(OR(IFERROR(FIND("@",'Import Ready'!F45),0)=0,IFERROR(FIND(".",'Import Ready'!F45,FIND("@",'Import Ready'!F45)+2),0)=0),"Check email","OK"))</x:f>
        <x:v>OK</x:v>
      </x:c>
      <x:c r="D45" s="85" t="str">
        <x:f>IF(A45="","Not checked",IF(COUNTIF($A$5:$A$124,A45)&gt;1,"Duplicate record ID","OK"))</x:f>
        <x:v>OK</x:v>
      </x:c>
      <x:c r="E45" s="85" t="str">
        <x:f>IF('Import Ready'!F45="","Not checked",IF(COUNTIF('Import Ready'!$F$5:$F$124,'Import Ready'!F45)&gt;1,"Duplicate email","OK"))</x:f>
        <x:v>OK</x:v>
      </x:c>
      <x:c r="F45" s="85" t="str">
        <x:f>IF('Import Ready'!G45="","Not checked",IF(OR(LEN('Import Ready'!G45)&lt;10,LEN('Import Ready'!G45)&gt;22),"Check phone length","OK"))</x:f>
        <x:v>OK</x:v>
      </x:c>
      <x:c r="G45" s="85" t="str">
        <x:f>IF('Import Ready'!G45="","Not checked",IF(COUNTIF('Import Ready'!$G$5:$G$124,'Import Ready'!G45)&gt;1,"Duplicate phone","OK"))</x:f>
        <x:v>OK</x:v>
      </x:c>
      <x:c r="H45" s="85" t="str">
        <x:f>IF(COUNTIF('Field Rules'!$F$5:$F$9,'Import Ready'!H45)=0,"Check country",IF(COUNTIF('Field Rules'!$G$5:$G$9,'Import Ready'!I45)=0,"Check territory",IF(COUNTIF('Field Rules'!$H$5:$H$9,'Import Ready'!J45)=0,"Check lead source",IF(COUNTIF('Field Rules'!$I$5:$I$9,'Import Ready'!K45)=0,"Check segment",IF(COUNTIF('Field Rules'!$J$5:$J$7,'Import Ready'!L45)=0,"Check account status","OK")))))</x:f>
        <x:v>OK</x:v>
      </x:c>
      <x:c r="I45" s="86" t="str">
        <x:f>IF(B45&lt;&gt;"OK",B45,IF(D45&lt;&gt;"OK",D45,IF(C45&lt;&gt;"OK",C45,IF(E45&lt;&gt;"OK",E45,IF(F45&lt;&gt;"OK",F45,IF(G45&lt;&gt;"OK",G45,IF(H45&lt;&gt;"OK",H45,"Ready")))))))</x:f>
        <x:v>Missing required field</x:v>
      </x:c>
    </x:row>
    <x:row r="46" ht="21" customHeight="1">
      <x:c r="A46" s="87" t="str">
        <x:f>'Import Ready'!A46</x:f>
        <x:v>C-2042</x:v>
      </x:c>
      <x:c r="B46" s="88" t="str">
        <x:f>IF(OR('Import Ready'!A46="",'Import Ready'!B46="",'Import Ready'!C46="",'Import Ready'!E46="",'Import Ready'!F46="",'Import Ready'!G46="",'Import Ready'!H46="",'Import Ready'!I46="",'Import Ready'!J46="",'Import Ready'!K46="",'Import Ready'!L46="",'Import Ready'!M46="",'Entry Queue'!N46=""),"Missing required field","OK")</x:f>
        <x:v>OK</x:v>
      </x:c>
      <x:c r="C46" s="88" t="str">
        <x:f>IF('Import Ready'!F46="","Not checked",IF(OR(IFERROR(FIND("@",'Import Ready'!F46),0)=0,IFERROR(FIND(".",'Import Ready'!F46,FIND("@",'Import Ready'!F46)+2),0)=0),"Check email","OK"))</x:f>
        <x:v>OK</x:v>
      </x:c>
      <x:c r="D46" s="88" t="str">
        <x:f>IF(A46="","Not checked",IF(COUNTIF($A$5:$A$124,A46)&gt;1,"Duplicate record ID","OK"))</x:f>
        <x:v>OK</x:v>
      </x:c>
      <x:c r="E46" s="88" t="str">
        <x:f>IF('Import Ready'!F46="","Not checked",IF(COUNTIF('Import Ready'!$F$5:$F$124,'Import Ready'!F46)&gt;1,"Duplicate email","OK"))</x:f>
        <x:v>OK</x:v>
      </x:c>
      <x:c r="F46" s="88" t="str">
        <x:f>IF('Import Ready'!G46="","Not checked",IF(OR(LEN('Import Ready'!G46)&lt;10,LEN('Import Ready'!G46)&gt;22),"Check phone length","OK"))</x:f>
        <x:v>OK</x:v>
      </x:c>
      <x:c r="G46" s="88" t="str">
        <x:f>IF('Import Ready'!G46="","Not checked",IF(COUNTIF('Import Ready'!$G$5:$G$124,'Import Ready'!G46)&gt;1,"Duplicate phone","OK"))</x:f>
        <x:v>OK</x:v>
      </x:c>
      <x:c r="H46" s="88" t="str">
        <x:f>IF(COUNTIF('Field Rules'!$F$5:$F$9,'Import Ready'!H46)=0,"Check country",IF(COUNTIF('Field Rules'!$G$5:$G$9,'Import Ready'!I46)=0,"Check territory",IF(COUNTIF('Field Rules'!$H$5:$H$9,'Import Ready'!J46)=0,"Check lead source",IF(COUNTIF('Field Rules'!$I$5:$I$9,'Import Ready'!K46)=0,"Check segment",IF(COUNTIF('Field Rules'!$J$5:$J$7,'Import Ready'!L46)=0,"Check account status","OK")))))</x:f>
        <x:v>OK</x:v>
      </x:c>
      <x:c r="I46" s="89" t="str">
        <x:f>IF(B46&lt;&gt;"OK",B46,IF(D46&lt;&gt;"OK",D46,IF(C46&lt;&gt;"OK",C46,IF(E46&lt;&gt;"OK",E46,IF(F46&lt;&gt;"OK",F46,IF(G46&lt;&gt;"OK",G46,IF(H46&lt;&gt;"OK",H46,"Ready")))))))</x:f>
        <x:v>Ready</x:v>
      </x:c>
    </x:row>
    <x:row r="47" ht="21" customHeight="1">
      <x:c r="A47" s="84" t="str">
        <x:f>'Import Ready'!A47</x:f>
        <x:v>C-2043</x:v>
      </x:c>
      <x:c r="B47" s="85" t="str">
        <x:f>IF(OR('Import Ready'!A47="",'Import Ready'!B47="",'Import Ready'!C47="",'Import Ready'!E47="",'Import Ready'!F47="",'Import Ready'!G47="",'Import Ready'!H47="",'Import Ready'!I47="",'Import Ready'!J47="",'Import Ready'!K47="",'Import Ready'!L47="",'Import Ready'!M47="",'Entry Queue'!N47=""),"Missing required field","OK")</x:f>
        <x:v>OK</x:v>
      </x:c>
      <x:c r="C47" s="85" t="str">
        <x:f>IF('Import Ready'!F47="","Not checked",IF(OR(IFERROR(FIND("@",'Import Ready'!F47),0)=0,IFERROR(FIND(".",'Import Ready'!F47,FIND("@",'Import Ready'!F47)+2),0)=0),"Check email","OK"))</x:f>
        <x:v>OK</x:v>
      </x:c>
      <x:c r="D47" s="85" t="str">
        <x:f>IF(A47="","Not checked",IF(COUNTIF($A$5:$A$124,A47)&gt;1,"Duplicate record ID","OK"))</x:f>
        <x:v>OK</x:v>
      </x:c>
      <x:c r="E47" s="85" t="str">
        <x:f>IF('Import Ready'!F47="","Not checked",IF(COUNTIF('Import Ready'!$F$5:$F$124,'Import Ready'!F47)&gt;1,"Duplicate email","OK"))</x:f>
        <x:v>OK</x:v>
      </x:c>
      <x:c r="F47" s="85" t="str">
        <x:f>IF('Import Ready'!G47="","Not checked",IF(OR(LEN('Import Ready'!G47)&lt;10,LEN('Import Ready'!G47)&gt;22),"Check phone length","OK"))</x:f>
        <x:v>OK</x:v>
      </x:c>
      <x:c r="G47" s="85" t="str">
        <x:f>IF('Import Ready'!G47="","Not checked",IF(COUNTIF('Import Ready'!$G$5:$G$124,'Import Ready'!G47)&gt;1,"Duplicate phone","OK"))</x:f>
        <x:v>OK</x:v>
      </x:c>
      <x:c r="H47" s="85" t="str">
        <x:f>IF(COUNTIF('Field Rules'!$F$5:$F$9,'Import Ready'!H47)=0,"Check country",IF(COUNTIF('Field Rules'!$G$5:$G$9,'Import Ready'!I47)=0,"Check territory",IF(COUNTIF('Field Rules'!$H$5:$H$9,'Import Ready'!J47)=0,"Check lead source",IF(COUNTIF('Field Rules'!$I$5:$I$9,'Import Ready'!K47)=0,"Check segment",IF(COUNTIF('Field Rules'!$J$5:$J$7,'Import Ready'!L47)=0,"Check account status","OK")))))</x:f>
        <x:v>OK</x:v>
      </x:c>
      <x:c r="I47" s="86" t="str">
        <x:f>IF(B47&lt;&gt;"OK",B47,IF(D47&lt;&gt;"OK",D47,IF(C47&lt;&gt;"OK",C47,IF(E47&lt;&gt;"OK",E47,IF(F47&lt;&gt;"OK",F47,IF(G47&lt;&gt;"OK",G47,IF(H47&lt;&gt;"OK",H47,"Ready")))))))</x:f>
        <x:v>Ready</x:v>
      </x:c>
    </x:row>
    <x:row r="48" ht="21" customHeight="1">
      <x:c r="A48" s="87" t="str">
        <x:f>'Import Ready'!A48</x:f>
        <x:v>C-2044</x:v>
      </x:c>
      <x:c r="B48" s="88" t="str">
        <x:f>IF(OR('Import Ready'!A48="",'Import Ready'!B48="",'Import Ready'!C48="",'Import Ready'!E48="",'Import Ready'!F48="",'Import Ready'!G48="",'Import Ready'!H48="",'Import Ready'!I48="",'Import Ready'!J48="",'Import Ready'!K48="",'Import Ready'!L48="",'Import Ready'!M48="",'Entry Queue'!N48=""),"Missing required field","OK")</x:f>
        <x:v>OK</x:v>
      </x:c>
      <x:c r="C48" s="88" t="str">
        <x:f>IF('Import Ready'!F48="","Not checked",IF(OR(IFERROR(FIND("@",'Import Ready'!F48),0)=0,IFERROR(FIND(".",'Import Ready'!F48,FIND("@",'Import Ready'!F48)+2),0)=0),"Check email","OK"))</x:f>
        <x:v>OK</x:v>
      </x:c>
      <x:c r="D48" s="88" t="str">
        <x:f>IF(A48="","Not checked",IF(COUNTIF($A$5:$A$124,A48)&gt;1,"Duplicate record ID","OK"))</x:f>
        <x:v>OK</x:v>
      </x:c>
      <x:c r="E48" s="88" t="str">
        <x:f>IF('Import Ready'!F48="","Not checked",IF(COUNTIF('Import Ready'!$F$5:$F$124,'Import Ready'!F48)&gt;1,"Duplicate email","OK"))</x:f>
        <x:v>OK</x:v>
      </x:c>
      <x:c r="F48" s="88" t="str">
        <x:f>IF('Import Ready'!G48="","Not checked",IF(OR(LEN('Import Ready'!G48)&lt;10,LEN('Import Ready'!G48)&gt;22),"Check phone length","OK"))</x:f>
        <x:v>OK</x:v>
      </x:c>
      <x:c r="G48" s="88" t="str">
        <x:f>IF('Import Ready'!G48="","Not checked",IF(COUNTIF('Import Ready'!$G$5:$G$124,'Import Ready'!G48)&gt;1,"Duplicate phone","OK"))</x:f>
        <x:v>OK</x:v>
      </x:c>
      <x:c r="H48" s="88" t="str">
        <x:f>IF(COUNTIF('Field Rules'!$F$5:$F$9,'Import Ready'!H48)=0,"Check country",IF(COUNTIF('Field Rules'!$G$5:$G$9,'Import Ready'!I48)=0,"Check territory",IF(COUNTIF('Field Rules'!$H$5:$H$9,'Import Ready'!J48)=0,"Check lead source",IF(COUNTIF('Field Rules'!$I$5:$I$9,'Import Ready'!K48)=0,"Check segment",IF(COUNTIF('Field Rules'!$J$5:$J$7,'Import Ready'!L48)=0,"Check account status","OK")))))</x:f>
        <x:v>OK</x:v>
      </x:c>
      <x:c r="I48" s="89" t="str">
        <x:f>IF(B48&lt;&gt;"OK",B48,IF(D48&lt;&gt;"OK",D48,IF(C48&lt;&gt;"OK",C48,IF(E48&lt;&gt;"OK",E48,IF(F48&lt;&gt;"OK",F48,IF(G48&lt;&gt;"OK",G48,IF(H48&lt;&gt;"OK",H48,"Ready")))))))</x:f>
        <x:v>Ready</x:v>
      </x:c>
    </x:row>
    <x:row r="49" ht="21" customHeight="1">
      <x:c r="A49" s="84" t="str">
        <x:f>'Import Ready'!A49</x:f>
        <x:v>C-2045</x:v>
      </x:c>
      <x:c r="B49" s="85" t="str">
        <x:f>IF(OR('Import Ready'!A49="",'Import Ready'!B49="",'Import Ready'!C49="",'Import Ready'!E49="",'Import Ready'!F49="",'Import Ready'!G49="",'Import Ready'!H49="",'Import Ready'!I49="",'Import Ready'!J49="",'Import Ready'!K49="",'Import Ready'!L49="",'Import Ready'!M49="",'Entry Queue'!N49=""),"Missing required field","OK")</x:f>
        <x:v>OK</x:v>
      </x:c>
      <x:c r="C49" s="85" t="str">
        <x:f>IF('Import Ready'!F49="","Not checked",IF(OR(IFERROR(FIND("@",'Import Ready'!F49),0)=0,IFERROR(FIND(".",'Import Ready'!F49,FIND("@",'Import Ready'!F49)+2),0)=0),"Check email","OK"))</x:f>
        <x:v>OK</x:v>
      </x:c>
      <x:c r="D49" s="85" t="str">
        <x:f>IF(A49="","Not checked",IF(COUNTIF($A$5:$A$124,A49)&gt;1,"Duplicate record ID","OK"))</x:f>
        <x:v>OK</x:v>
      </x:c>
      <x:c r="E49" s="85" t="str">
        <x:f>IF('Import Ready'!F49="","Not checked",IF(COUNTIF('Import Ready'!$F$5:$F$124,'Import Ready'!F49)&gt;1,"Duplicate email","OK"))</x:f>
        <x:v>OK</x:v>
      </x:c>
      <x:c r="F49" s="85" t="str">
        <x:f>IF('Import Ready'!G49="","Not checked",IF(OR(LEN('Import Ready'!G49)&lt;10,LEN('Import Ready'!G49)&gt;22),"Check phone length","OK"))</x:f>
        <x:v>OK</x:v>
      </x:c>
      <x:c r="G49" s="85" t="str">
        <x:f>IF('Import Ready'!G49="","Not checked",IF(COUNTIF('Import Ready'!$G$5:$G$124,'Import Ready'!G49)&gt;1,"Duplicate phone","OK"))</x:f>
        <x:v>OK</x:v>
      </x:c>
      <x:c r="H49" s="85" t="str">
        <x:f>IF(COUNTIF('Field Rules'!$F$5:$F$9,'Import Ready'!H49)=0,"Check country",IF(COUNTIF('Field Rules'!$G$5:$G$9,'Import Ready'!I49)=0,"Check territory",IF(COUNTIF('Field Rules'!$H$5:$H$9,'Import Ready'!J49)=0,"Check lead source",IF(COUNTIF('Field Rules'!$I$5:$I$9,'Import Ready'!K49)=0,"Check segment",IF(COUNTIF('Field Rules'!$J$5:$J$7,'Import Ready'!L49)=0,"Check account status","OK")))))</x:f>
        <x:v>OK</x:v>
      </x:c>
      <x:c r="I49" s="86" t="str">
        <x:f>IF(B49&lt;&gt;"OK",B49,IF(D49&lt;&gt;"OK",D49,IF(C49&lt;&gt;"OK",C49,IF(E49&lt;&gt;"OK",E49,IF(F49&lt;&gt;"OK",F49,IF(G49&lt;&gt;"OK",G49,IF(H49&lt;&gt;"OK",H49,"Ready")))))))</x:f>
        <x:v>Ready</x:v>
      </x:c>
    </x:row>
    <x:row r="50" ht="21" customHeight="1">
      <x:c r="A50" s="87" t="str">
        <x:f>'Import Ready'!A50</x:f>
        <x:v>C-2046</x:v>
      </x:c>
      <x:c r="B50" s="88" t="str">
        <x:f>IF(OR('Import Ready'!A50="",'Import Ready'!B50="",'Import Ready'!C50="",'Import Ready'!E50="",'Import Ready'!F50="",'Import Ready'!G50="",'Import Ready'!H50="",'Import Ready'!I50="",'Import Ready'!J50="",'Import Ready'!K50="",'Import Ready'!L50="",'Import Ready'!M50="",'Entry Queue'!N50=""),"Missing required field","OK")</x:f>
        <x:v>OK</x:v>
      </x:c>
      <x:c r="C50" s="88" t="str">
        <x:f>IF('Import Ready'!F50="","Not checked",IF(OR(IFERROR(FIND("@",'Import Ready'!F50),0)=0,IFERROR(FIND(".",'Import Ready'!F50,FIND("@",'Import Ready'!F50)+2),0)=0),"Check email","OK"))</x:f>
        <x:v>OK</x:v>
      </x:c>
      <x:c r="D50" s="88" t="str">
        <x:f>IF(A50="","Not checked",IF(COUNTIF($A$5:$A$124,A50)&gt;1,"Duplicate record ID","OK"))</x:f>
        <x:v>OK</x:v>
      </x:c>
      <x:c r="E50" s="88" t="str">
        <x:f>IF('Import Ready'!F50="","Not checked",IF(COUNTIF('Import Ready'!$F$5:$F$124,'Import Ready'!F50)&gt;1,"Duplicate email","OK"))</x:f>
        <x:v>OK</x:v>
      </x:c>
      <x:c r="F50" s="88" t="str">
        <x:f>IF('Import Ready'!G50="","Not checked",IF(OR(LEN('Import Ready'!G50)&lt;10,LEN('Import Ready'!G50)&gt;22),"Check phone length","OK"))</x:f>
        <x:v>OK</x:v>
      </x:c>
      <x:c r="G50" s="88" t="str">
        <x:f>IF('Import Ready'!G50="","Not checked",IF(COUNTIF('Import Ready'!$G$5:$G$124,'Import Ready'!G50)&gt;1,"Duplicate phone","OK"))</x:f>
        <x:v>OK</x:v>
      </x:c>
      <x:c r="H50" s="88" t="str">
        <x:f>IF(COUNTIF('Field Rules'!$F$5:$F$9,'Import Ready'!H50)=0,"Check country",IF(COUNTIF('Field Rules'!$G$5:$G$9,'Import Ready'!I50)=0,"Check territory",IF(COUNTIF('Field Rules'!$H$5:$H$9,'Import Ready'!J50)=0,"Check lead source",IF(COUNTIF('Field Rules'!$I$5:$I$9,'Import Ready'!K50)=0,"Check segment",IF(COUNTIF('Field Rules'!$J$5:$J$7,'Import Ready'!L50)=0,"Check account status","OK")))))</x:f>
        <x:v>OK</x:v>
      </x:c>
      <x:c r="I50" s="89" t="str">
        <x:f>IF(B50&lt;&gt;"OK",B50,IF(D50&lt;&gt;"OK",D50,IF(C50&lt;&gt;"OK",C50,IF(E50&lt;&gt;"OK",E50,IF(F50&lt;&gt;"OK",F50,IF(G50&lt;&gt;"OK",G50,IF(H50&lt;&gt;"OK",H50,"Ready")))))))</x:f>
        <x:v>Ready</x:v>
      </x:c>
    </x:row>
    <x:row r="51" ht="21" customHeight="1">
      <x:c r="A51" s="84" t="str">
        <x:f>'Import Ready'!A51</x:f>
        <x:v>C-2047</x:v>
      </x:c>
      <x:c r="B51" s="85" t="str">
        <x:f>IF(OR('Import Ready'!A51="",'Import Ready'!B51="",'Import Ready'!C51="",'Import Ready'!E51="",'Import Ready'!F51="",'Import Ready'!G51="",'Import Ready'!H51="",'Import Ready'!I51="",'Import Ready'!J51="",'Import Ready'!K51="",'Import Ready'!L51="",'Import Ready'!M51="",'Entry Queue'!N51=""),"Missing required field","OK")</x:f>
        <x:v>OK</x:v>
      </x:c>
      <x:c r="C51" s="85" t="str">
        <x:f>IF('Import Ready'!F51="","Not checked",IF(OR(IFERROR(FIND("@",'Import Ready'!F51),0)=0,IFERROR(FIND(".",'Import Ready'!F51,FIND("@",'Import Ready'!F51)+2),0)=0),"Check email","OK"))</x:f>
        <x:v>OK</x:v>
      </x:c>
      <x:c r="D51" s="85" t="str">
        <x:f>IF(A51="","Not checked",IF(COUNTIF($A$5:$A$124,A51)&gt;1,"Duplicate record ID","OK"))</x:f>
        <x:v>OK</x:v>
      </x:c>
      <x:c r="E51" s="85" t="str">
        <x:f>IF('Import Ready'!F51="","Not checked",IF(COUNTIF('Import Ready'!$F$5:$F$124,'Import Ready'!F51)&gt;1,"Duplicate email","OK"))</x:f>
        <x:v>OK</x:v>
      </x:c>
      <x:c r="F51" s="85" t="str">
        <x:f>IF('Import Ready'!G51="","Not checked",IF(OR(LEN('Import Ready'!G51)&lt;10,LEN('Import Ready'!G51)&gt;22),"Check phone length","OK"))</x:f>
        <x:v>OK</x:v>
      </x:c>
      <x:c r="G51" s="85" t="str">
        <x:f>IF('Import Ready'!G51="","Not checked",IF(COUNTIF('Import Ready'!$G$5:$G$124,'Import Ready'!G51)&gt;1,"Duplicate phone","OK"))</x:f>
        <x:v>OK</x:v>
      </x:c>
      <x:c r="H51" s="85" t="str">
        <x:f>IF(COUNTIF('Field Rules'!$F$5:$F$9,'Import Ready'!H51)=0,"Check country",IF(COUNTIF('Field Rules'!$G$5:$G$9,'Import Ready'!I51)=0,"Check territory",IF(COUNTIF('Field Rules'!$H$5:$H$9,'Import Ready'!J51)=0,"Check lead source",IF(COUNTIF('Field Rules'!$I$5:$I$9,'Import Ready'!K51)=0,"Check segment",IF(COUNTIF('Field Rules'!$J$5:$J$7,'Import Ready'!L51)=0,"Check account status","OK")))))</x:f>
        <x:v>OK</x:v>
      </x:c>
      <x:c r="I51" s="86" t="str">
        <x:f>IF(B51&lt;&gt;"OK",B51,IF(D51&lt;&gt;"OK",D51,IF(C51&lt;&gt;"OK",C51,IF(E51&lt;&gt;"OK",E51,IF(F51&lt;&gt;"OK",F51,IF(G51&lt;&gt;"OK",G51,IF(H51&lt;&gt;"OK",H51,"Ready")))))))</x:f>
        <x:v>Ready</x:v>
      </x:c>
    </x:row>
    <x:row r="52" ht="21" customHeight="1">
      <x:c r="A52" s="87" t="str">
        <x:f>'Import Ready'!A52</x:f>
        <x:v>C-2048</x:v>
      </x:c>
      <x:c r="B52" s="88" t="str">
        <x:f>IF(OR('Import Ready'!A52="",'Import Ready'!B52="",'Import Ready'!C52="",'Import Ready'!E52="",'Import Ready'!F52="",'Import Ready'!G52="",'Import Ready'!H52="",'Import Ready'!I52="",'Import Ready'!J52="",'Import Ready'!K52="",'Import Ready'!L52="",'Import Ready'!M52="",'Entry Queue'!N52=""),"Missing required field","OK")</x:f>
        <x:v>OK</x:v>
      </x:c>
      <x:c r="C52" s="88" t="str">
        <x:f>IF('Import Ready'!F52="","Not checked",IF(OR(IFERROR(FIND("@",'Import Ready'!F52),0)=0,IFERROR(FIND(".",'Import Ready'!F52,FIND("@",'Import Ready'!F52)+2),0)=0),"Check email","OK"))</x:f>
        <x:v>OK</x:v>
      </x:c>
      <x:c r="D52" s="88" t="str">
        <x:f>IF(A52="","Not checked",IF(COUNTIF($A$5:$A$124,A52)&gt;1,"Duplicate record ID","OK"))</x:f>
        <x:v>OK</x:v>
      </x:c>
      <x:c r="E52" s="88" t="str">
        <x:f>IF('Import Ready'!F52="","Not checked",IF(COUNTIF('Import Ready'!$F$5:$F$124,'Import Ready'!F52)&gt;1,"Duplicate email","OK"))</x:f>
        <x:v>OK</x:v>
      </x:c>
      <x:c r="F52" s="88" t="str">
        <x:f>IF('Import Ready'!G52="","Not checked",IF(OR(LEN('Import Ready'!G52)&lt;10,LEN('Import Ready'!G52)&gt;22),"Check phone length","OK"))</x:f>
        <x:v>OK</x:v>
      </x:c>
      <x:c r="G52" s="88" t="str">
        <x:f>IF('Import Ready'!G52="","Not checked",IF(COUNTIF('Import Ready'!$G$5:$G$124,'Import Ready'!G52)&gt;1,"Duplicate phone","OK"))</x:f>
        <x:v>OK</x:v>
      </x:c>
      <x:c r="H52" s="88" t="str">
        <x:f>IF(COUNTIF('Field Rules'!$F$5:$F$9,'Import Ready'!H52)=0,"Check country",IF(COUNTIF('Field Rules'!$G$5:$G$9,'Import Ready'!I52)=0,"Check territory",IF(COUNTIF('Field Rules'!$H$5:$H$9,'Import Ready'!J52)=0,"Check lead source",IF(COUNTIF('Field Rules'!$I$5:$I$9,'Import Ready'!K52)=0,"Check segment",IF(COUNTIF('Field Rules'!$J$5:$J$7,'Import Ready'!L52)=0,"Check account status","OK")))))</x:f>
        <x:v>OK</x:v>
      </x:c>
      <x:c r="I52" s="89" t="str">
        <x:f>IF(B52&lt;&gt;"OK",B52,IF(D52&lt;&gt;"OK",D52,IF(C52&lt;&gt;"OK",C52,IF(E52&lt;&gt;"OK",E52,IF(F52&lt;&gt;"OK",F52,IF(G52&lt;&gt;"OK",G52,IF(H52&lt;&gt;"OK",H52,"Ready")))))))</x:f>
        <x:v>Ready</x:v>
      </x:c>
    </x:row>
    <x:row r="53" ht="21" customHeight="1">
      <x:c r="A53" s="84" t="str">
        <x:f>'Import Ready'!A53</x:f>
        <x:v>C-2049</x:v>
      </x:c>
      <x:c r="B53" s="85" t="str">
        <x:f>IF(OR('Import Ready'!A53="",'Import Ready'!B53="",'Import Ready'!C53="",'Import Ready'!E53="",'Import Ready'!F53="",'Import Ready'!G53="",'Import Ready'!H53="",'Import Ready'!I53="",'Import Ready'!J53="",'Import Ready'!K53="",'Import Ready'!L53="",'Import Ready'!M53="",'Entry Queue'!N53=""),"Missing required field","OK")</x:f>
        <x:v>OK</x:v>
      </x:c>
      <x:c r="C53" s="85" t="str">
        <x:f>IF('Import Ready'!F53="","Not checked",IF(OR(IFERROR(FIND("@",'Import Ready'!F53),0)=0,IFERROR(FIND(".",'Import Ready'!F53,FIND("@",'Import Ready'!F53)+2),0)=0),"Check email","OK"))</x:f>
        <x:v>OK</x:v>
      </x:c>
      <x:c r="D53" s="85" t="str">
        <x:f>IF(A53="","Not checked",IF(COUNTIF($A$5:$A$124,A53)&gt;1,"Duplicate record ID","OK"))</x:f>
        <x:v>OK</x:v>
      </x:c>
      <x:c r="E53" s="85" t="str">
        <x:f>IF('Import Ready'!F53="","Not checked",IF(COUNTIF('Import Ready'!$F$5:$F$124,'Import Ready'!F53)&gt;1,"Duplicate email","OK"))</x:f>
        <x:v>OK</x:v>
      </x:c>
      <x:c r="F53" s="85" t="str">
        <x:f>IF('Import Ready'!G53="","Not checked",IF(OR(LEN('Import Ready'!G53)&lt;10,LEN('Import Ready'!G53)&gt;22),"Check phone length","OK"))</x:f>
        <x:v>OK</x:v>
      </x:c>
      <x:c r="G53" s="85" t="str">
        <x:f>IF('Import Ready'!G53="","Not checked",IF(COUNTIF('Import Ready'!$G$5:$G$124,'Import Ready'!G53)&gt;1,"Duplicate phone","OK"))</x:f>
        <x:v>OK</x:v>
      </x:c>
      <x:c r="H53" s="85" t="str">
        <x:f>IF(COUNTIF('Field Rules'!$F$5:$F$9,'Import Ready'!H53)=0,"Check country",IF(COUNTIF('Field Rules'!$G$5:$G$9,'Import Ready'!I53)=0,"Check territory",IF(COUNTIF('Field Rules'!$H$5:$H$9,'Import Ready'!J53)=0,"Check lead source",IF(COUNTIF('Field Rules'!$I$5:$I$9,'Import Ready'!K53)=0,"Check segment",IF(COUNTIF('Field Rules'!$J$5:$J$7,'Import Ready'!L53)=0,"Check account status","OK")))))</x:f>
        <x:v>OK</x:v>
      </x:c>
      <x:c r="I53" s="86" t="str">
        <x:f>IF(B53&lt;&gt;"OK",B53,IF(D53&lt;&gt;"OK",D53,IF(C53&lt;&gt;"OK",C53,IF(E53&lt;&gt;"OK",E53,IF(F53&lt;&gt;"OK",F53,IF(G53&lt;&gt;"OK",G53,IF(H53&lt;&gt;"OK",H53,"Ready")))))))</x:f>
        <x:v>Ready</x:v>
      </x:c>
    </x:row>
    <x:row r="54" ht="21" customHeight="1">
      <x:c r="A54" s="87" t="str">
        <x:f>'Import Ready'!A54</x:f>
        <x:v>C-2050</x:v>
      </x:c>
      <x:c r="B54" s="88" t="str">
        <x:f>IF(OR('Import Ready'!A54="",'Import Ready'!B54="",'Import Ready'!C54="",'Import Ready'!E54="",'Import Ready'!F54="",'Import Ready'!G54="",'Import Ready'!H54="",'Import Ready'!I54="",'Import Ready'!J54="",'Import Ready'!K54="",'Import Ready'!L54="",'Import Ready'!M54="",'Entry Queue'!N54=""),"Missing required field","OK")</x:f>
        <x:v>OK</x:v>
      </x:c>
      <x:c r="C54" s="88" t="str">
        <x:f>IF('Import Ready'!F54="","Not checked",IF(OR(IFERROR(FIND("@",'Import Ready'!F54),0)=0,IFERROR(FIND(".",'Import Ready'!F54,FIND("@",'Import Ready'!F54)+2),0)=0),"Check email","OK"))</x:f>
        <x:v>OK</x:v>
      </x:c>
      <x:c r="D54" s="88" t="str">
        <x:f>IF(A54="","Not checked",IF(COUNTIF($A$5:$A$124,A54)&gt;1,"Duplicate record ID","OK"))</x:f>
        <x:v>OK</x:v>
      </x:c>
      <x:c r="E54" s="88" t="str">
        <x:f>IF('Import Ready'!F54="","Not checked",IF(COUNTIF('Import Ready'!$F$5:$F$124,'Import Ready'!F54)&gt;1,"Duplicate email","OK"))</x:f>
        <x:v>OK</x:v>
      </x:c>
      <x:c r="F54" s="88" t="str">
        <x:f>IF('Import Ready'!G54="","Not checked",IF(OR(LEN('Import Ready'!G54)&lt;10,LEN('Import Ready'!G54)&gt;22),"Check phone length","OK"))</x:f>
        <x:v>OK</x:v>
      </x:c>
      <x:c r="G54" s="88" t="str">
        <x:f>IF('Import Ready'!G54="","Not checked",IF(COUNTIF('Import Ready'!$G$5:$G$124,'Import Ready'!G54)&gt;1,"Duplicate phone","OK"))</x:f>
        <x:v>OK</x:v>
      </x:c>
      <x:c r="H54" s="88" t="str">
        <x:f>IF(COUNTIF('Field Rules'!$F$5:$F$9,'Import Ready'!H54)=0,"Check country",IF(COUNTIF('Field Rules'!$G$5:$G$9,'Import Ready'!I54)=0,"Check territory",IF(COUNTIF('Field Rules'!$H$5:$H$9,'Import Ready'!J54)=0,"Check lead source",IF(COUNTIF('Field Rules'!$I$5:$I$9,'Import Ready'!K54)=0,"Check segment",IF(COUNTIF('Field Rules'!$J$5:$J$7,'Import Ready'!L54)=0,"Check account status","OK")))))</x:f>
        <x:v>OK</x:v>
      </x:c>
      <x:c r="I54" s="89" t="str">
        <x:f>IF(B54&lt;&gt;"OK",B54,IF(D54&lt;&gt;"OK",D54,IF(C54&lt;&gt;"OK",C54,IF(E54&lt;&gt;"OK",E54,IF(F54&lt;&gt;"OK",F54,IF(G54&lt;&gt;"OK",G54,IF(H54&lt;&gt;"OK",H54,"Ready")))))))</x:f>
        <x:v>Ready</x:v>
      </x:c>
    </x:row>
    <x:row r="55" ht="21" customHeight="1">
      <x:c r="A55" s="84" t="str">
        <x:f>'Import Ready'!A55</x:f>
        <x:v>C-2051</x:v>
      </x:c>
      <x:c r="B55" s="85" t="str">
        <x:f>IF(OR('Import Ready'!A55="",'Import Ready'!B55="",'Import Ready'!C55="",'Import Ready'!E55="",'Import Ready'!F55="",'Import Ready'!G55="",'Import Ready'!H55="",'Import Ready'!I55="",'Import Ready'!J55="",'Import Ready'!K55="",'Import Ready'!L55="",'Import Ready'!M55="",'Entry Queue'!N55=""),"Missing required field","OK")</x:f>
        <x:v>Missing required field</x:v>
      </x:c>
      <x:c r="C55" s="85" t="str">
        <x:f>IF('Import Ready'!F55="","Not checked",IF(OR(IFERROR(FIND("@",'Import Ready'!F55),0)=0,IFERROR(FIND(".",'Import Ready'!F55,FIND("@",'Import Ready'!F55)+2),0)=0),"Check email","OK"))</x:f>
        <x:v>OK</x:v>
      </x:c>
      <x:c r="D55" s="85" t="str">
        <x:f>IF(A55="","Not checked",IF(COUNTIF($A$5:$A$124,A55)&gt;1,"Duplicate record ID","OK"))</x:f>
        <x:v>OK</x:v>
      </x:c>
      <x:c r="E55" s="85" t="str">
        <x:f>IF('Import Ready'!F55="","Not checked",IF(COUNTIF('Import Ready'!$F$5:$F$124,'Import Ready'!F55)&gt;1,"Duplicate email","OK"))</x:f>
        <x:v>OK</x:v>
      </x:c>
      <x:c r="F55" s="85" t="str">
        <x:f>IF('Import Ready'!G55="","Not checked",IF(OR(LEN('Import Ready'!G55)&lt;10,LEN('Import Ready'!G55)&gt;22),"Check phone length","OK"))</x:f>
        <x:v>Not checked</x:v>
      </x:c>
      <x:c r="G55" s="85" t="str">
        <x:f>IF('Import Ready'!G55="","Not checked",IF(COUNTIF('Import Ready'!$G$5:$G$124,'Import Ready'!G55)&gt;1,"Duplicate phone","OK"))</x:f>
        <x:v>Not checked</x:v>
      </x:c>
      <x:c r="H55" s="85" t="str">
        <x:f>IF(COUNTIF('Field Rules'!$F$5:$F$9,'Import Ready'!H55)=0,"Check country",IF(COUNTIF('Field Rules'!$G$5:$G$9,'Import Ready'!I55)=0,"Check territory",IF(COUNTIF('Field Rules'!$H$5:$H$9,'Import Ready'!J55)=0,"Check lead source",IF(COUNTIF('Field Rules'!$I$5:$I$9,'Import Ready'!K55)=0,"Check segment",IF(COUNTIF('Field Rules'!$J$5:$J$7,'Import Ready'!L55)=0,"Check account status","OK")))))</x:f>
        <x:v>OK</x:v>
      </x:c>
      <x:c r="I55" s="86" t="str">
        <x:f>IF(B55&lt;&gt;"OK",B55,IF(D55&lt;&gt;"OK",D55,IF(C55&lt;&gt;"OK",C55,IF(E55&lt;&gt;"OK",E55,IF(F55&lt;&gt;"OK",F55,IF(G55&lt;&gt;"OK",G55,IF(H55&lt;&gt;"OK",H55,"Ready")))))))</x:f>
        <x:v>Missing required field</x:v>
      </x:c>
    </x:row>
    <x:row r="56" ht="21" customHeight="1">
      <x:c r="A56" s="87" t="str">
        <x:f>'Import Ready'!A56</x:f>
        <x:v>C-2052</x:v>
      </x:c>
      <x:c r="B56" s="88" t="str">
        <x:f>IF(OR('Import Ready'!A56="",'Import Ready'!B56="",'Import Ready'!C56="",'Import Ready'!E56="",'Import Ready'!F56="",'Import Ready'!G56="",'Import Ready'!H56="",'Import Ready'!I56="",'Import Ready'!J56="",'Import Ready'!K56="",'Import Ready'!L56="",'Import Ready'!M56="",'Entry Queue'!N56=""),"Missing required field","OK")</x:f>
        <x:v>OK</x:v>
      </x:c>
      <x:c r="C56" s="88" t="str">
        <x:f>IF('Import Ready'!F56="","Not checked",IF(OR(IFERROR(FIND("@",'Import Ready'!F56),0)=0,IFERROR(FIND(".",'Import Ready'!F56,FIND("@",'Import Ready'!F56)+2),0)=0),"Check email","OK"))</x:f>
        <x:v>OK</x:v>
      </x:c>
      <x:c r="D56" s="88" t="str">
        <x:f>IF(A56="","Not checked",IF(COUNTIF($A$5:$A$124,A56)&gt;1,"Duplicate record ID","OK"))</x:f>
        <x:v>OK</x:v>
      </x:c>
      <x:c r="E56" s="88" t="str">
        <x:f>IF('Import Ready'!F56="","Not checked",IF(COUNTIF('Import Ready'!$F$5:$F$124,'Import Ready'!F56)&gt;1,"Duplicate email","OK"))</x:f>
        <x:v>OK</x:v>
      </x:c>
      <x:c r="F56" s="88" t="str">
        <x:f>IF('Import Ready'!G56="","Not checked",IF(OR(LEN('Import Ready'!G56)&lt;10,LEN('Import Ready'!G56)&gt;22),"Check phone length","OK"))</x:f>
        <x:v>OK</x:v>
      </x:c>
      <x:c r="G56" s="88" t="str">
        <x:f>IF('Import Ready'!G56="","Not checked",IF(COUNTIF('Import Ready'!$G$5:$G$124,'Import Ready'!G56)&gt;1,"Duplicate phone","OK"))</x:f>
        <x:v>OK</x:v>
      </x:c>
      <x:c r="H56" s="88" t="str">
        <x:f>IF(COUNTIF('Field Rules'!$F$5:$F$9,'Import Ready'!H56)=0,"Check country",IF(COUNTIF('Field Rules'!$G$5:$G$9,'Import Ready'!I56)=0,"Check territory",IF(COUNTIF('Field Rules'!$H$5:$H$9,'Import Ready'!J56)=0,"Check lead source",IF(COUNTIF('Field Rules'!$I$5:$I$9,'Import Ready'!K56)=0,"Check segment",IF(COUNTIF('Field Rules'!$J$5:$J$7,'Import Ready'!L56)=0,"Check account status","OK")))))</x:f>
        <x:v>OK</x:v>
      </x:c>
      <x:c r="I56" s="89" t="str">
        <x:f>IF(B56&lt;&gt;"OK",B56,IF(D56&lt;&gt;"OK",D56,IF(C56&lt;&gt;"OK",C56,IF(E56&lt;&gt;"OK",E56,IF(F56&lt;&gt;"OK",F56,IF(G56&lt;&gt;"OK",G56,IF(H56&lt;&gt;"OK",H56,"Ready")))))))</x:f>
        <x:v>Ready</x:v>
      </x:c>
    </x:row>
    <x:row r="57" ht="21" customHeight="1">
      <x:c r="A57" s="84" t="str">
        <x:f>'Import Ready'!A57</x:f>
        <x:v>C-2053</x:v>
      </x:c>
      <x:c r="B57" s="85" t="str">
        <x:f>IF(OR('Import Ready'!A57="",'Import Ready'!B57="",'Import Ready'!C57="",'Import Ready'!E57="",'Import Ready'!F57="",'Import Ready'!G57="",'Import Ready'!H57="",'Import Ready'!I57="",'Import Ready'!J57="",'Import Ready'!K57="",'Import Ready'!L57="",'Import Ready'!M57="",'Entry Queue'!N57=""),"Missing required field","OK")</x:f>
        <x:v>OK</x:v>
      </x:c>
      <x:c r="C57" s="85" t="str">
        <x:f>IF('Import Ready'!F57="","Not checked",IF(OR(IFERROR(FIND("@",'Import Ready'!F57),0)=0,IFERROR(FIND(".",'Import Ready'!F57,FIND("@",'Import Ready'!F57)+2),0)=0),"Check email","OK"))</x:f>
        <x:v>OK</x:v>
      </x:c>
      <x:c r="D57" s="85" t="str">
        <x:f>IF(A57="","Not checked",IF(COUNTIF($A$5:$A$124,A57)&gt;1,"Duplicate record ID","OK"))</x:f>
        <x:v>OK</x:v>
      </x:c>
      <x:c r="E57" s="85" t="str">
        <x:f>IF('Import Ready'!F57="","Not checked",IF(COUNTIF('Import Ready'!$F$5:$F$124,'Import Ready'!F57)&gt;1,"Duplicate email","OK"))</x:f>
        <x:v>OK</x:v>
      </x:c>
      <x:c r="F57" s="85" t="str">
        <x:f>IF('Import Ready'!G57="","Not checked",IF(OR(LEN('Import Ready'!G57)&lt;10,LEN('Import Ready'!G57)&gt;22),"Check phone length","OK"))</x:f>
        <x:v>OK</x:v>
      </x:c>
      <x:c r="G57" s="85" t="str">
        <x:f>IF('Import Ready'!G57="","Not checked",IF(COUNTIF('Import Ready'!$G$5:$G$124,'Import Ready'!G57)&gt;1,"Duplicate phone","OK"))</x:f>
        <x:v>OK</x:v>
      </x:c>
      <x:c r="H57" s="85" t="str">
        <x:f>IF(COUNTIF('Field Rules'!$F$5:$F$9,'Import Ready'!H57)=0,"Check country",IF(COUNTIF('Field Rules'!$G$5:$G$9,'Import Ready'!I57)=0,"Check territory",IF(COUNTIF('Field Rules'!$H$5:$H$9,'Import Ready'!J57)=0,"Check lead source",IF(COUNTIF('Field Rules'!$I$5:$I$9,'Import Ready'!K57)=0,"Check segment",IF(COUNTIF('Field Rules'!$J$5:$J$7,'Import Ready'!L57)=0,"Check account status","OK")))))</x:f>
        <x:v>OK</x:v>
      </x:c>
      <x:c r="I57" s="86" t="str">
        <x:f>IF(B57&lt;&gt;"OK",B57,IF(D57&lt;&gt;"OK",D57,IF(C57&lt;&gt;"OK",C57,IF(E57&lt;&gt;"OK",E57,IF(F57&lt;&gt;"OK",F57,IF(G57&lt;&gt;"OK",G57,IF(H57&lt;&gt;"OK",H57,"Ready")))))))</x:f>
        <x:v>Ready</x:v>
      </x:c>
    </x:row>
    <x:row r="58" ht="21" customHeight="1">
      <x:c r="A58" s="87" t="str">
        <x:f>'Import Ready'!A58</x:f>
        <x:v>C-2054</x:v>
      </x:c>
      <x:c r="B58" s="88" t="str">
        <x:f>IF(OR('Import Ready'!A58="",'Import Ready'!B58="",'Import Ready'!C58="",'Import Ready'!E58="",'Import Ready'!F58="",'Import Ready'!G58="",'Import Ready'!H58="",'Import Ready'!I58="",'Import Ready'!J58="",'Import Ready'!K58="",'Import Ready'!L58="",'Import Ready'!M58="",'Entry Queue'!N58=""),"Missing required field","OK")</x:f>
        <x:v>OK</x:v>
      </x:c>
      <x:c r="C58" s="88" t="str">
        <x:f>IF('Import Ready'!F58="","Not checked",IF(OR(IFERROR(FIND("@",'Import Ready'!F58),0)=0,IFERROR(FIND(".",'Import Ready'!F58,FIND("@",'Import Ready'!F58)+2),0)=0),"Check email","OK"))</x:f>
        <x:v>OK</x:v>
      </x:c>
      <x:c r="D58" s="88" t="str">
        <x:f>IF(A58="","Not checked",IF(COUNTIF($A$5:$A$124,A58)&gt;1,"Duplicate record ID","OK"))</x:f>
        <x:v>OK</x:v>
      </x:c>
      <x:c r="E58" s="88" t="str">
        <x:f>IF('Import Ready'!F58="","Not checked",IF(COUNTIF('Import Ready'!$F$5:$F$124,'Import Ready'!F58)&gt;1,"Duplicate email","OK"))</x:f>
        <x:v>OK</x:v>
      </x:c>
      <x:c r="F58" s="88" t="str">
        <x:f>IF('Import Ready'!G58="","Not checked",IF(OR(LEN('Import Ready'!G58)&lt;10,LEN('Import Ready'!G58)&gt;22),"Check phone length","OK"))</x:f>
        <x:v>OK</x:v>
      </x:c>
      <x:c r="G58" s="88" t="str">
        <x:f>IF('Import Ready'!G58="","Not checked",IF(COUNTIF('Import Ready'!$G$5:$G$124,'Import Ready'!G58)&gt;1,"Duplicate phone","OK"))</x:f>
        <x:v>OK</x:v>
      </x:c>
      <x:c r="H58" s="88" t="str">
        <x:f>IF(COUNTIF('Field Rules'!$F$5:$F$9,'Import Ready'!H58)=0,"Check country",IF(COUNTIF('Field Rules'!$G$5:$G$9,'Import Ready'!I58)=0,"Check territory",IF(COUNTIF('Field Rules'!$H$5:$H$9,'Import Ready'!J58)=0,"Check lead source",IF(COUNTIF('Field Rules'!$I$5:$I$9,'Import Ready'!K58)=0,"Check segment",IF(COUNTIF('Field Rules'!$J$5:$J$7,'Import Ready'!L58)=0,"Check account status","OK")))))</x:f>
        <x:v>OK</x:v>
      </x:c>
      <x:c r="I58" s="89" t="str">
        <x:f>IF(B58&lt;&gt;"OK",B58,IF(D58&lt;&gt;"OK",D58,IF(C58&lt;&gt;"OK",C58,IF(E58&lt;&gt;"OK",E58,IF(F58&lt;&gt;"OK",F58,IF(G58&lt;&gt;"OK",G58,IF(H58&lt;&gt;"OK",H58,"Ready")))))))</x:f>
        <x:v>Ready</x:v>
      </x:c>
    </x:row>
    <x:row r="59" ht="21" customHeight="1">
      <x:c r="A59" s="84" t="str">
        <x:f>'Import Ready'!A59</x:f>
        <x:v>C-2055</x:v>
      </x:c>
      <x:c r="B59" s="85" t="str">
        <x:f>IF(OR('Import Ready'!A59="",'Import Ready'!B59="",'Import Ready'!C59="",'Import Ready'!E59="",'Import Ready'!F59="",'Import Ready'!G59="",'Import Ready'!H59="",'Import Ready'!I59="",'Import Ready'!J59="",'Import Ready'!K59="",'Import Ready'!L59="",'Import Ready'!M59="",'Entry Queue'!N59=""),"Missing required field","OK")</x:f>
        <x:v>OK</x:v>
      </x:c>
      <x:c r="C59" s="85" t="str">
        <x:f>IF('Import Ready'!F59="","Not checked",IF(OR(IFERROR(FIND("@",'Import Ready'!F59),0)=0,IFERROR(FIND(".",'Import Ready'!F59,FIND("@",'Import Ready'!F59)+2),0)=0),"Check email","OK"))</x:f>
        <x:v>OK</x:v>
      </x:c>
      <x:c r="D59" s="85" t="str">
        <x:f>IF(A59="","Not checked",IF(COUNTIF($A$5:$A$124,A59)&gt;1,"Duplicate record ID","OK"))</x:f>
        <x:v>OK</x:v>
      </x:c>
      <x:c r="E59" s="85" t="str">
        <x:f>IF('Import Ready'!F59="","Not checked",IF(COUNTIF('Import Ready'!$F$5:$F$124,'Import Ready'!F59)&gt;1,"Duplicate email","OK"))</x:f>
        <x:v>OK</x:v>
      </x:c>
      <x:c r="F59" s="85" t="str">
        <x:f>IF('Import Ready'!G59="","Not checked",IF(OR(LEN('Import Ready'!G59)&lt;10,LEN('Import Ready'!G59)&gt;22),"Check phone length","OK"))</x:f>
        <x:v>OK</x:v>
      </x:c>
      <x:c r="G59" s="85" t="str">
        <x:f>IF('Import Ready'!G59="","Not checked",IF(COUNTIF('Import Ready'!$G$5:$G$124,'Import Ready'!G59)&gt;1,"Duplicate phone","OK"))</x:f>
        <x:v>OK</x:v>
      </x:c>
      <x:c r="H59" s="85" t="str">
        <x:f>IF(COUNTIF('Field Rules'!$F$5:$F$9,'Import Ready'!H59)=0,"Check country",IF(COUNTIF('Field Rules'!$G$5:$G$9,'Import Ready'!I59)=0,"Check territory",IF(COUNTIF('Field Rules'!$H$5:$H$9,'Import Ready'!J59)=0,"Check lead source",IF(COUNTIF('Field Rules'!$I$5:$I$9,'Import Ready'!K59)=0,"Check segment",IF(COUNTIF('Field Rules'!$J$5:$J$7,'Import Ready'!L59)=0,"Check account status","OK")))))</x:f>
        <x:v>OK</x:v>
      </x:c>
      <x:c r="I59" s="86" t="str">
        <x:f>IF(B59&lt;&gt;"OK",B59,IF(D59&lt;&gt;"OK",D59,IF(C59&lt;&gt;"OK",C59,IF(E59&lt;&gt;"OK",E59,IF(F59&lt;&gt;"OK",F59,IF(G59&lt;&gt;"OK",G59,IF(H59&lt;&gt;"OK",H59,"Ready")))))))</x:f>
        <x:v>Ready</x:v>
      </x:c>
    </x:row>
    <x:row r="60" ht="21" customHeight="1">
      <x:c r="A60" s="87" t="str">
        <x:f>'Import Ready'!A60</x:f>
        <x:v>C-2056</x:v>
      </x:c>
      <x:c r="B60" s="88" t="str">
        <x:f>IF(OR('Import Ready'!A60="",'Import Ready'!B60="",'Import Ready'!C60="",'Import Ready'!E60="",'Import Ready'!F60="",'Import Ready'!G60="",'Import Ready'!H60="",'Import Ready'!I60="",'Import Ready'!J60="",'Import Ready'!K60="",'Import Ready'!L60="",'Import Ready'!M60="",'Entry Queue'!N60=""),"Missing required field","OK")</x:f>
        <x:v>OK</x:v>
      </x:c>
      <x:c r="C60" s="88" t="str">
        <x:f>IF('Import Ready'!F60="","Not checked",IF(OR(IFERROR(FIND("@",'Import Ready'!F60),0)=0,IFERROR(FIND(".",'Import Ready'!F60,FIND("@",'Import Ready'!F60)+2),0)=0),"Check email","OK"))</x:f>
        <x:v>OK</x:v>
      </x:c>
      <x:c r="D60" s="88" t="str">
        <x:f>IF(A60="","Not checked",IF(COUNTIF($A$5:$A$124,A60)&gt;1,"Duplicate record ID","OK"))</x:f>
        <x:v>OK</x:v>
      </x:c>
      <x:c r="E60" s="88" t="str">
        <x:f>IF('Import Ready'!F60="","Not checked",IF(COUNTIF('Import Ready'!$F$5:$F$124,'Import Ready'!F60)&gt;1,"Duplicate email","OK"))</x:f>
        <x:v>OK</x:v>
      </x:c>
      <x:c r="F60" s="88" t="str">
        <x:f>IF('Import Ready'!G60="","Not checked",IF(OR(LEN('Import Ready'!G60)&lt;10,LEN('Import Ready'!G60)&gt;22),"Check phone length","OK"))</x:f>
        <x:v>OK</x:v>
      </x:c>
      <x:c r="G60" s="88" t="str">
        <x:f>IF('Import Ready'!G60="","Not checked",IF(COUNTIF('Import Ready'!$G$5:$G$124,'Import Ready'!G60)&gt;1,"Duplicate phone","OK"))</x:f>
        <x:v>OK</x:v>
      </x:c>
      <x:c r="H60" s="88" t="str">
        <x:f>IF(COUNTIF('Field Rules'!$F$5:$F$9,'Import Ready'!H60)=0,"Check country",IF(COUNTIF('Field Rules'!$G$5:$G$9,'Import Ready'!I60)=0,"Check territory",IF(COUNTIF('Field Rules'!$H$5:$H$9,'Import Ready'!J60)=0,"Check lead source",IF(COUNTIF('Field Rules'!$I$5:$I$9,'Import Ready'!K60)=0,"Check segment",IF(COUNTIF('Field Rules'!$J$5:$J$7,'Import Ready'!L60)=0,"Check account status","OK")))))</x:f>
        <x:v>OK</x:v>
      </x:c>
      <x:c r="I60" s="89" t="str">
        <x:f>IF(B60&lt;&gt;"OK",B60,IF(D60&lt;&gt;"OK",D60,IF(C60&lt;&gt;"OK",C60,IF(E60&lt;&gt;"OK",E60,IF(F60&lt;&gt;"OK",F60,IF(G60&lt;&gt;"OK",G60,IF(H60&lt;&gt;"OK",H60,"Ready")))))))</x:f>
        <x:v>Ready</x:v>
      </x:c>
    </x:row>
    <x:row r="61" ht="21" customHeight="1">
      <x:c r="A61" s="84" t="str">
        <x:f>'Import Ready'!A61</x:f>
        <x:v>C-2057</x:v>
      </x:c>
      <x:c r="B61" s="85" t="str">
        <x:f>IF(OR('Import Ready'!A61="",'Import Ready'!B61="",'Import Ready'!C61="",'Import Ready'!E61="",'Import Ready'!F61="",'Import Ready'!G61="",'Import Ready'!H61="",'Import Ready'!I61="",'Import Ready'!J61="",'Import Ready'!K61="",'Import Ready'!L61="",'Import Ready'!M61="",'Entry Queue'!N61=""),"Missing required field","OK")</x:f>
        <x:v>OK</x:v>
      </x:c>
      <x:c r="C61" s="85" t="str">
        <x:f>IF('Import Ready'!F61="","Not checked",IF(OR(IFERROR(FIND("@",'Import Ready'!F61),0)=0,IFERROR(FIND(".",'Import Ready'!F61,FIND("@",'Import Ready'!F61)+2),0)=0),"Check email","OK"))</x:f>
        <x:v>OK</x:v>
      </x:c>
      <x:c r="D61" s="85" t="str">
        <x:f>IF(A61="","Not checked",IF(COUNTIF($A$5:$A$124,A61)&gt;1,"Duplicate record ID","OK"))</x:f>
        <x:v>OK</x:v>
      </x:c>
      <x:c r="E61" s="85" t="str">
        <x:f>IF('Import Ready'!F61="","Not checked",IF(COUNTIF('Import Ready'!$F$5:$F$124,'Import Ready'!F61)&gt;1,"Duplicate email","OK"))</x:f>
        <x:v>OK</x:v>
      </x:c>
      <x:c r="F61" s="85" t="str">
        <x:f>IF('Import Ready'!G61="","Not checked",IF(OR(LEN('Import Ready'!G61)&lt;10,LEN('Import Ready'!G61)&gt;22),"Check phone length","OK"))</x:f>
        <x:v>OK</x:v>
      </x:c>
      <x:c r="G61" s="85" t="str">
        <x:f>IF('Import Ready'!G61="","Not checked",IF(COUNTIF('Import Ready'!$G$5:$G$124,'Import Ready'!G61)&gt;1,"Duplicate phone","OK"))</x:f>
        <x:v>OK</x:v>
      </x:c>
      <x:c r="H61" s="85" t="str">
        <x:f>IF(COUNTIF('Field Rules'!$F$5:$F$9,'Import Ready'!H61)=0,"Check country",IF(COUNTIF('Field Rules'!$G$5:$G$9,'Import Ready'!I61)=0,"Check territory",IF(COUNTIF('Field Rules'!$H$5:$H$9,'Import Ready'!J61)=0,"Check lead source",IF(COUNTIF('Field Rules'!$I$5:$I$9,'Import Ready'!K61)=0,"Check segment",IF(COUNTIF('Field Rules'!$J$5:$J$7,'Import Ready'!L61)=0,"Check account status","OK")))))</x:f>
        <x:v>OK</x:v>
      </x:c>
      <x:c r="I61" s="86" t="str">
        <x:f>IF(B61&lt;&gt;"OK",B61,IF(D61&lt;&gt;"OK",D61,IF(C61&lt;&gt;"OK",C61,IF(E61&lt;&gt;"OK",E61,IF(F61&lt;&gt;"OK",F61,IF(G61&lt;&gt;"OK",G61,IF(H61&lt;&gt;"OK",H61,"Ready")))))))</x:f>
        <x:v>Ready</x:v>
      </x:c>
    </x:row>
    <x:row r="62" ht="21" customHeight="1">
      <x:c r="A62" s="87" t="str">
        <x:f>'Import Ready'!A62</x:f>
        <x:v>C-2058</x:v>
      </x:c>
      <x:c r="B62" s="88" t="str">
        <x:f>IF(OR('Import Ready'!A62="",'Import Ready'!B62="",'Import Ready'!C62="",'Import Ready'!E62="",'Import Ready'!F62="",'Import Ready'!G62="",'Import Ready'!H62="",'Import Ready'!I62="",'Import Ready'!J62="",'Import Ready'!K62="",'Import Ready'!L62="",'Import Ready'!M62="",'Entry Queue'!N62=""),"Missing required field","OK")</x:f>
        <x:v>OK</x:v>
      </x:c>
      <x:c r="C62" s="88" t="str">
        <x:f>IF('Import Ready'!F62="","Not checked",IF(OR(IFERROR(FIND("@",'Import Ready'!F62),0)=0,IFERROR(FIND(".",'Import Ready'!F62,FIND("@",'Import Ready'!F62)+2),0)=0),"Check email","OK"))</x:f>
        <x:v>OK</x:v>
      </x:c>
      <x:c r="D62" s="88" t="str">
        <x:f>IF(A62="","Not checked",IF(COUNTIF($A$5:$A$124,A62)&gt;1,"Duplicate record ID","OK"))</x:f>
        <x:v>OK</x:v>
      </x:c>
      <x:c r="E62" s="88" t="str">
        <x:f>IF('Import Ready'!F62="","Not checked",IF(COUNTIF('Import Ready'!$F$5:$F$124,'Import Ready'!F62)&gt;1,"Duplicate email","OK"))</x:f>
        <x:v>OK</x:v>
      </x:c>
      <x:c r="F62" s="88" t="str">
        <x:f>IF('Import Ready'!G62="","Not checked",IF(OR(LEN('Import Ready'!G62)&lt;10,LEN('Import Ready'!G62)&gt;22),"Check phone length","OK"))</x:f>
        <x:v>OK</x:v>
      </x:c>
      <x:c r="G62" s="88" t="str">
        <x:f>IF('Import Ready'!G62="","Not checked",IF(COUNTIF('Import Ready'!$G$5:$G$124,'Import Ready'!G62)&gt;1,"Duplicate phone","OK"))</x:f>
        <x:v>OK</x:v>
      </x:c>
      <x:c r="H62" s="88" t="str">
        <x:f>IF(COUNTIF('Field Rules'!$F$5:$F$9,'Import Ready'!H62)=0,"Check country",IF(COUNTIF('Field Rules'!$G$5:$G$9,'Import Ready'!I62)=0,"Check territory",IF(COUNTIF('Field Rules'!$H$5:$H$9,'Import Ready'!J62)=0,"Check lead source",IF(COUNTIF('Field Rules'!$I$5:$I$9,'Import Ready'!K62)=0,"Check segment",IF(COUNTIF('Field Rules'!$J$5:$J$7,'Import Ready'!L62)=0,"Check account status","OK")))))</x:f>
        <x:v>Check lead source</x:v>
      </x:c>
      <x:c r="I62" s="89" t="str">
        <x:f>IF(B62&lt;&gt;"OK",B62,IF(D62&lt;&gt;"OK",D62,IF(C62&lt;&gt;"OK",C62,IF(E62&lt;&gt;"OK",E62,IF(F62&lt;&gt;"OK",F62,IF(G62&lt;&gt;"OK",G62,IF(H62&lt;&gt;"OK",H62,"Ready")))))))</x:f>
        <x:v>Check lead source</x:v>
      </x:c>
    </x:row>
    <x:row r="63" ht="21" customHeight="1">
      <x:c r="A63" s="84" t="str">
        <x:f>'Import Ready'!A63</x:f>
        <x:v>C-2059</x:v>
      </x:c>
      <x:c r="B63" s="85" t="str">
        <x:f>IF(OR('Import Ready'!A63="",'Import Ready'!B63="",'Import Ready'!C63="",'Import Ready'!E63="",'Import Ready'!F63="",'Import Ready'!G63="",'Import Ready'!H63="",'Import Ready'!I63="",'Import Ready'!J63="",'Import Ready'!K63="",'Import Ready'!L63="",'Import Ready'!M63="",'Entry Queue'!N63=""),"Missing required field","OK")</x:f>
        <x:v>OK</x:v>
      </x:c>
      <x:c r="C63" s="85" t="str">
        <x:f>IF('Import Ready'!F63="","Not checked",IF(OR(IFERROR(FIND("@",'Import Ready'!F63),0)=0,IFERROR(FIND(".",'Import Ready'!F63,FIND("@",'Import Ready'!F63)+2),0)=0),"Check email","OK"))</x:f>
        <x:v>OK</x:v>
      </x:c>
      <x:c r="D63" s="85" t="str">
        <x:f>IF(A63="","Not checked",IF(COUNTIF($A$5:$A$124,A63)&gt;1,"Duplicate record ID","OK"))</x:f>
        <x:v>OK</x:v>
      </x:c>
      <x:c r="E63" s="85" t="str">
        <x:f>IF('Import Ready'!F63="","Not checked",IF(COUNTIF('Import Ready'!$F$5:$F$124,'Import Ready'!F63)&gt;1,"Duplicate email","OK"))</x:f>
        <x:v>OK</x:v>
      </x:c>
      <x:c r="F63" s="85" t="str">
        <x:f>IF('Import Ready'!G63="","Not checked",IF(OR(LEN('Import Ready'!G63)&lt;10,LEN('Import Ready'!G63)&gt;22),"Check phone length","OK"))</x:f>
        <x:v>OK</x:v>
      </x:c>
      <x:c r="G63" s="85" t="str">
        <x:f>IF('Import Ready'!G63="","Not checked",IF(COUNTIF('Import Ready'!$G$5:$G$124,'Import Ready'!G63)&gt;1,"Duplicate phone","OK"))</x:f>
        <x:v>OK</x:v>
      </x:c>
      <x:c r="H63" s="85" t="str">
        <x:f>IF(COUNTIF('Field Rules'!$F$5:$F$9,'Import Ready'!H63)=0,"Check country",IF(COUNTIF('Field Rules'!$G$5:$G$9,'Import Ready'!I63)=0,"Check territory",IF(COUNTIF('Field Rules'!$H$5:$H$9,'Import Ready'!J63)=0,"Check lead source",IF(COUNTIF('Field Rules'!$I$5:$I$9,'Import Ready'!K63)=0,"Check segment",IF(COUNTIF('Field Rules'!$J$5:$J$7,'Import Ready'!L63)=0,"Check account status","OK")))))</x:f>
        <x:v>OK</x:v>
      </x:c>
      <x:c r="I63" s="86" t="str">
        <x:f>IF(B63&lt;&gt;"OK",B63,IF(D63&lt;&gt;"OK",D63,IF(C63&lt;&gt;"OK",C63,IF(E63&lt;&gt;"OK",E63,IF(F63&lt;&gt;"OK",F63,IF(G63&lt;&gt;"OK",G63,IF(H63&lt;&gt;"OK",H63,"Ready")))))))</x:f>
        <x:v>Ready</x:v>
      </x:c>
    </x:row>
    <x:row r="64" ht="21" customHeight="1">
      <x:c r="A64" s="87" t="str">
        <x:f>'Import Ready'!A64</x:f>
        <x:v>C-2060</x:v>
      </x:c>
      <x:c r="B64" s="88" t="str">
        <x:f>IF(OR('Import Ready'!A64="",'Import Ready'!B64="",'Import Ready'!C64="",'Import Ready'!E64="",'Import Ready'!F64="",'Import Ready'!G64="",'Import Ready'!H64="",'Import Ready'!I64="",'Import Ready'!J64="",'Import Ready'!K64="",'Import Ready'!L64="",'Import Ready'!M64="",'Entry Queue'!N64=""),"Missing required field","OK")</x:f>
        <x:v>OK</x:v>
      </x:c>
      <x:c r="C64" s="88" t="str">
        <x:f>IF('Import Ready'!F64="","Not checked",IF(OR(IFERROR(FIND("@",'Import Ready'!F64),0)=0,IFERROR(FIND(".",'Import Ready'!F64,FIND("@",'Import Ready'!F64)+2),0)=0),"Check email","OK"))</x:f>
        <x:v>OK</x:v>
      </x:c>
      <x:c r="D64" s="88" t="str">
        <x:f>IF(A64="","Not checked",IF(COUNTIF($A$5:$A$124,A64)&gt;1,"Duplicate record ID","OK"))</x:f>
        <x:v>OK</x:v>
      </x:c>
      <x:c r="E64" s="88" t="str">
        <x:f>IF('Import Ready'!F64="","Not checked",IF(COUNTIF('Import Ready'!$F$5:$F$124,'Import Ready'!F64)&gt;1,"Duplicate email","OK"))</x:f>
        <x:v>OK</x:v>
      </x:c>
      <x:c r="F64" s="88" t="str">
        <x:f>IF('Import Ready'!G64="","Not checked",IF(OR(LEN('Import Ready'!G64)&lt;10,LEN('Import Ready'!G64)&gt;22),"Check phone length","OK"))</x:f>
        <x:v>OK</x:v>
      </x:c>
      <x:c r="G64" s="88" t="str">
        <x:f>IF('Import Ready'!G64="","Not checked",IF(COUNTIF('Import Ready'!$G$5:$G$124,'Import Ready'!G64)&gt;1,"Duplicate phone","OK"))</x:f>
        <x:v>OK</x:v>
      </x:c>
      <x:c r="H64" s="88" t="str">
        <x:f>IF(COUNTIF('Field Rules'!$F$5:$F$9,'Import Ready'!H64)=0,"Check country",IF(COUNTIF('Field Rules'!$G$5:$G$9,'Import Ready'!I64)=0,"Check territory",IF(COUNTIF('Field Rules'!$H$5:$H$9,'Import Ready'!J64)=0,"Check lead source",IF(COUNTIF('Field Rules'!$I$5:$I$9,'Import Ready'!K64)=0,"Check segment",IF(COUNTIF('Field Rules'!$J$5:$J$7,'Import Ready'!L64)=0,"Check account status","OK")))))</x:f>
        <x:v>OK</x:v>
      </x:c>
      <x:c r="I64" s="89" t="str">
        <x:f>IF(B64&lt;&gt;"OK",B64,IF(D64&lt;&gt;"OK",D64,IF(C64&lt;&gt;"OK",C64,IF(E64&lt;&gt;"OK",E64,IF(F64&lt;&gt;"OK",F64,IF(G64&lt;&gt;"OK",G64,IF(H64&lt;&gt;"OK",H64,"Ready")))))))</x:f>
        <x:v>Ready</x:v>
      </x:c>
    </x:row>
    <x:row r="65" ht="21" customHeight="1">
      <x:c r="A65" s="84" t="str">
        <x:f>'Import Ready'!A65</x:f>
        <x:v>C-2061</x:v>
      </x:c>
      <x:c r="B65" s="85" t="str">
        <x:f>IF(OR('Import Ready'!A65="",'Import Ready'!B65="",'Import Ready'!C65="",'Import Ready'!E65="",'Import Ready'!F65="",'Import Ready'!G65="",'Import Ready'!H65="",'Import Ready'!I65="",'Import Ready'!J65="",'Import Ready'!K65="",'Import Ready'!L65="",'Import Ready'!M65="",'Entry Queue'!N65=""),"Missing required field","OK")</x:f>
        <x:v>OK</x:v>
      </x:c>
      <x:c r="C65" s="85" t="str">
        <x:f>IF('Import Ready'!F65="","Not checked",IF(OR(IFERROR(FIND("@",'Import Ready'!F65),0)=0,IFERROR(FIND(".",'Import Ready'!F65,FIND("@",'Import Ready'!F65)+2),0)=0),"Check email","OK"))</x:f>
        <x:v>OK</x:v>
      </x:c>
      <x:c r="D65" s="85" t="str">
        <x:f>IF(A65="","Not checked",IF(COUNTIF($A$5:$A$124,A65)&gt;1,"Duplicate record ID","OK"))</x:f>
        <x:v>OK</x:v>
      </x:c>
      <x:c r="E65" s="85" t="str">
        <x:f>IF('Import Ready'!F65="","Not checked",IF(COUNTIF('Import Ready'!$F$5:$F$124,'Import Ready'!F65)&gt;1,"Duplicate email","OK"))</x:f>
        <x:v>OK</x:v>
      </x:c>
      <x:c r="F65" s="85" t="str">
        <x:f>IF('Import Ready'!G65="","Not checked",IF(OR(LEN('Import Ready'!G65)&lt;10,LEN('Import Ready'!G65)&gt;22),"Check phone length","OK"))</x:f>
        <x:v>OK</x:v>
      </x:c>
      <x:c r="G65" s="85" t="str">
        <x:f>IF('Import Ready'!G65="","Not checked",IF(COUNTIF('Import Ready'!$G$5:$G$124,'Import Ready'!G65)&gt;1,"Duplicate phone","OK"))</x:f>
        <x:v>OK</x:v>
      </x:c>
      <x:c r="H65" s="85" t="str">
        <x:f>IF(COUNTIF('Field Rules'!$F$5:$F$9,'Import Ready'!H65)=0,"Check country",IF(COUNTIF('Field Rules'!$G$5:$G$9,'Import Ready'!I65)=0,"Check territory",IF(COUNTIF('Field Rules'!$H$5:$H$9,'Import Ready'!J65)=0,"Check lead source",IF(COUNTIF('Field Rules'!$I$5:$I$9,'Import Ready'!K65)=0,"Check segment",IF(COUNTIF('Field Rules'!$J$5:$J$7,'Import Ready'!L65)=0,"Check account status","OK")))))</x:f>
        <x:v>OK</x:v>
      </x:c>
      <x:c r="I65" s="86" t="str">
        <x:f>IF(B65&lt;&gt;"OK",B65,IF(D65&lt;&gt;"OK",D65,IF(C65&lt;&gt;"OK",C65,IF(E65&lt;&gt;"OK",E65,IF(F65&lt;&gt;"OK",F65,IF(G65&lt;&gt;"OK",G65,IF(H65&lt;&gt;"OK",H65,"Ready")))))))</x:f>
        <x:v>Ready</x:v>
      </x:c>
    </x:row>
    <x:row r="66" ht="21" customHeight="1">
      <x:c r="A66" s="87" t="str">
        <x:f>'Import Ready'!A66</x:f>
        <x:v>C-2062</x:v>
      </x:c>
      <x:c r="B66" s="88" t="str">
        <x:f>IF(OR('Import Ready'!A66="",'Import Ready'!B66="",'Import Ready'!C66="",'Import Ready'!E66="",'Import Ready'!F66="",'Import Ready'!G66="",'Import Ready'!H66="",'Import Ready'!I66="",'Import Ready'!J66="",'Import Ready'!K66="",'Import Ready'!L66="",'Import Ready'!M66="",'Entry Queue'!N66=""),"Missing required field","OK")</x:f>
        <x:v>OK</x:v>
      </x:c>
      <x:c r="C66" s="88" t="str">
        <x:f>IF('Import Ready'!F66="","Not checked",IF(OR(IFERROR(FIND("@",'Import Ready'!F66),0)=0,IFERROR(FIND(".",'Import Ready'!F66,FIND("@",'Import Ready'!F66)+2),0)=0),"Check email","OK"))</x:f>
        <x:v>OK</x:v>
      </x:c>
      <x:c r="D66" s="88" t="str">
        <x:f>IF(A66="","Not checked",IF(COUNTIF($A$5:$A$124,A66)&gt;1,"Duplicate record ID","OK"))</x:f>
        <x:v>OK</x:v>
      </x:c>
      <x:c r="E66" s="88" t="str">
        <x:f>IF('Import Ready'!F66="","Not checked",IF(COUNTIF('Import Ready'!$F$5:$F$124,'Import Ready'!F66)&gt;1,"Duplicate email","OK"))</x:f>
        <x:v>OK</x:v>
      </x:c>
      <x:c r="F66" s="88" t="str">
        <x:f>IF('Import Ready'!G66="","Not checked",IF(OR(LEN('Import Ready'!G66)&lt;10,LEN('Import Ready'!G66)&gt;22),"Check phone length","OK"))</x:f>
        <x:v>OK</x:v>
      </x:c>
      <x:c r="G66" s="88" t="str">
        <x:f>IF('Import Ready'!G66="","Not checked",IF(COUNTIF('Import Ready'!$G$5:$G$124,'Import Ready'!G66)&gt;1,"Duplicate phone","OK"))</x:f>
        <x:v>OK</x:v>
      </x:c>
      <x:c r="H66" s="88" t="str">
        <x:f>IF(COUNTIF('Field Rules'!$F$5:$F$9,'Import Ready'!H66)=0,"Check country",IF(COUNTIF('Field Rules'!$G$5:$G$9,'Import Ready'!I66)=0,"Check territory",IF(COUNTIF('Field Rules'!$H$5:$H$9,'Import Ready'!J66)=0,"Check lead source",IF(COUNTIF('Field Rules'!$I$5:$I$9,'Import Ready'!K66)=0,"Check segment",IF(COUNTIF('Field Rules'!$J$5:$J$7,'Import Ready'!L66)=0,"Check account status","OK")))))</x:f>
        <x:v>Check segment</x:v>
      </x:c>
      <x:c r="I66" s="89" t="str">
        <x:f>IF(B66&lt;&gt;"OK",B66,IF(D66&lt;&gt;"OK",D66,IF(C66&lt;&gt;"OK",C66,IF(E66&lt;&gt;"OK",E66,IF(F66&lt;&gt;"OK",F66,IF(G66&lt;&gt;"OK",G66,IF(H66&lt;&gt;"OK",H66,"Ready")))))))</x:f>
        <x:v>Check segment</x:v>
      </x:c>
    </x:row>
    <x:row r="67" ht="21" customHeight="1">
      <x:c r="A67" s="84" t="str">
        <x:f>'Import Ready'!A67</x:f>
        <x:v>C-2063</x:v>
      </x:c>
      <x:c r="B67" s="85" t="str">
        <x:f>IF(OR('Import Ready'!A67="",'Import Ready'!B67="",'Import Ready'!C67="",'Import Ready'!E67="",'Import Ready'!F67="",'Import Ready'!G67="",'Import Ready'!H67="",'Import Ready'!I67="",'Import Ready'!J67="",'Import Ready'!K67="",'Import Ready'!L67="",'Import Ready'!M67="",'Entry Queue'!N67=""),"Missing required field","OK")</x:f>
        <x:v>OK</x:v>
      </x:c>
      <x:c r="C67" s="85" t="str">
        <x:f>IF('Import Ready'!F67="","Not checked",IF(OR(IFERROR(FIND("@",'Import Ready'!F67),0)=0,IFERROR(FIND(".",'Import Ready'!F67,FIND("@",'Import Ready'!F67)+2),0)=0),"Check email","OK"))</x:f>
        <x:v>OK</x:v>
      </x:c>
      <x:c r="D67" s="85" t="str">
        <x:f>IF(A67="","Not checked",IF(COUNTIF($A$5:$A$124,A67)&gt;1,"Duplicate record ID","OK"))</x:f>
        <x:v>OK</x:v>
      </x:c>
      <x:c r="E67" s="85" t="str">
        <x:f>IF('Import Ready'!F67="","Not checked",IF(COUNTIF('Import Ready'!$F$5:$F$124,'Import Ready'!F67)&gt;1,"Duplicate email","OK"))</x:f>
        <x:v>OK</x:v>
      </x:c>
      <x:c r="F67" s="85" t="str">
        <x:f>IF('Import Ready'!G67="","Not checked",IF(OR(LEN('Import Ready'!G67)&lt;10,LEN('Import Ready'!G67)&gt;22),"Check phone length","OK"))</x:f>
        <x:v>OK</x:v>
      </x:c>
      <x:c r="G67" s="85" t="str">
        <x:f>IF('Import Ready'!G67="","Not checked",IF(COUNTIF('Import Ready'!$G$5:$G$124,'Import Ready'!G67)&gt;1,"Duplicate phone","OK"))</x:f>
        <x:v>OK</x:v>
      </x:c>
      <x:c r="H67" s="85" t="str">
        <x:f>IF(COUNTIF('Field Rules'!$F$5:$F$9,'Import Ready'!H67)=0,"Check country",IF(COUNTIF('Field Rules'!$G$5:$G$9,'Import Ready'!I67)=0,"Check territory",IF(COUNTIF('Field Rules'!$H$5:$H$9,'Import Ready'!J67)=0,"Check lead source",IF(COUNTIF('Field Rules'!$I$5:$I$9,'Import Ready'!K67)=0,"Check segment",IF(COUNTIF('Field Rules'!$J$5:$J$7,'Import Ready'!L67)=0,"Check account status","OK")))))</x:f>
        <x:v>OK</x:v>
      </x:c>
      <x:c r="I67" s="86" t="str">
        <x:f>IF(B67&lt;&gt;"OK",B67,IF(D67&lt;&gt;"OK",D67,IF(C67&lt;&gt;"OK",C67,IF(E67&lt;&gt;"OK",E67,IF(F67&lt;&gt;"OK",F67,IF(G67&lt;&gt;"OK",G67,IF(H67&lt;&gt;"OK",H67,"Ready")))))))</x:f>
        <x:v>Ready</x:v>
      </x:c>
    </x:row>
    <x:row r="68" ht="21" customHeight="1">
      <x:c r="A68" s="87" t="str">
        <x:f>'Import Ready'!A68</x:f>
        <x:v>C-2064</x:v>
      </x:c>
      <x:c r="B68" s="88" t="str">
        <x:f>IF(OR('Import Ready'!A68="",'Import Ready'!B68="",'Import Ready'!C68="",'Import Ready'!E68="",'Import Ready'!F68="",'Import Ready'!G68="",'Import Ready'!H68="",'Import Ready'!I68="",'Import Ready'!J68="",'Import Ready'!K68="",'Import Ready'!L68="",'Import Ready'!M68="",'Entry Queue'!N68=""),"Missing required field","OK")</x:f>
        <x:v>OK</x:v>
      </x:c>
      <x:c r="C68" s="88" t="str">
        <x:f>IF('Import Ready'!F68="","Not checked",IF(OR(IFERROR(FIND("@",'Import Ready'!F68),0)=0,IFERROR(FIND(".",'Import Ready'!F68,FIND("@",'Import Ready'!F68)+2),0)=0),"Check email","OK"))</x:f>
        <x:v>OK</x:v>
      </x:c>
      <x:c r="D68" s="88" t="str">
        <x:f>IF(A68="","Not checked",IF(COUNTIF($A$5:$A$124,A68)&gt;1,"Duplicate record ID","OK"))</x:f>
        <x:v>OK</x:v>
      </x:c>
      <x:c r="E68" s="88" t="str">
        <x:f>IF('Import Ready'!F68="","Not checked",IF(COUNTIF('Import Ready'!$F$5:$F$124,'Import Ready'!F68)&gt;1,"Duplicate email","OK"))</x:f>
        <x:v>OK</x:v>
      </x:c>
      <x:c r="F68" s="88" t="str">
        <x:f>IF('Import Ready'!G68="","Not checked",IF(OR(LEN('Import Ready'!G68)&lt;10,LEN('Import Ready'!G68)&gt;22),"Check phone length","OK"))</x:f>
        <x:v>OK</x:v>
      </x:c>
      <x:c r="G68" s="88" t="str">
        <x:f>IF('Import Ready'!G68="","Not checked",IF(COUNTIF('Import Ready'!$G$5:$G$124,'Import Ready'!G68)&gt;1,"Duplicate phone","OK"))</x:f>
        <x:v>OK</x:v>
      </x:c>
      <x:c r="H68" s="88" t="str">
        <x:f>IF(COUNTIF('Field Rules'!$F$5:$F$9,'Import Ready'!H68)=0,"Check country",IF(COUNTIF('Field Rules'!$G$5:$G$9,'Import Ready'!I68)=0,"Check territory",IF(COUNTIF('Field Rules'!$H$5:$H$9,'Import Ready'!J68)=0,"Check lead source",IF(COUNTIF('Field Rules'!$I$5:$I$9,'Import Ready'!K68)=0,"Check segment",IF(COUNTIF('Field Rules'!$J$5:$J$7,'Import Ready'!L68)=0,"Check account status","OK")))))</x:f>
        <x:v>OK</x:v>
      </x:c>
      <x:c r="I68" s="89" t="str">
        <x:f>IF(B68&lt;&gt;"OK",B68,IF(D68&lt;&gt;"OK",D68,IF(C68&lt;&gt;"OK",C68,IF(E68&lt;&gt;"OK",E68,IF(F68&lt;&gt;"OK",F68,IF(G68&lt;&gt;"OK",G68,IF(H68&lt;&gt;"OK",H68,"Ready")))))))</x:f>
        <x:v>Ready</x:v>
      </x:c>
    </x:row>
    <x:row r="69" ht="21" customHeight="1">
      <x:c r="A69" s="84" t="str">
        <x:f>'Import Ready'!A69</x:f>
        <x:v>C-2065</x:v>
      </x:c>
      <x:c r="B69" s="85" t="str">
        <x:f>IF(OR('Import Ready'!A69="",'Import Ready'!B69="",'Import Ready'!C69="",'Import Ready'!E69="",'Import Ready'!F69="",'Import Ready'!G69="",'Import Ready'!H69="",'Import Ready'!I69="",'Import Ready'!J69="",'Import Ready'!K69="",'Import Ready'!L69="",'Import Ready'!M69="",'Entry Queue'!N69=""),"Missing required field","OK")</x:f>
        <x:v>OK</x:v>
      </x:c>
      <x:c r="C69" s="85" t="str">
        <x:f>IF('Import Ready'!F69="","Not checked",IF(OR(IFERROR(FIND("@",'Import Ready'!F69),0)=0,IFERROR(FIND(".",'Import Ready'!F69,FIND("@",'Import Ready'!F69)+2),0)=0),"Check email","OK"))</x:f>
        <x:v>OK</x:v>
      </x:c>
      <x:c r="D69" s="85" t="str">
        <x:f>IF(A69="","Not checked",IF(COUNTIF($A$5:$A$124,A69)&gt;1,"Duplicate record ID","OK"))</x:f>
        <x:v>OK</x:v>
      </x:c>
      <x:c r="E69" s="85" t="str">
        <x:f>IF('Import Ready'!F69="","Not checked",IF(COUNTIF('Import Ready'!$F$5:$F$124,'Import Ready'!F69)&gt;1,"Duplicate email","OK"))</x:f>
        <x:v>OK</x:v>
      </x:c>
      <x:c r="F69" s="85" t="str">
        <x:f>IF('Import Ready'!G69="","Not checked",IF(OR(LEN('Import Ready'!G69)&lt;10,LEN('Import Ready'!G69)&gt;22),"Check phone length","OK"))</x:f>
        <x:v>OK</x:v>
      </x:c>
      <x:c r="G69" s="85" t="str">
        <x:f>IF('Import Ready'!G69="","Not checked",IF(COUNTIF('Import Ready'!$G$5:$G$124,'Import Ready'!G69)&gt;1,"Duplicate phone","OK"))</x:f>
        <x:v>OK</x:v>
      </x:c>
      <x:c r="H69" s="85" t="str">
        <x:f>IF(COUNTIF('Field Rules'!$F$5:$F$9,'Import Ready'!H69)=0,"Check country",IF(COUNTIF('Field Rules'!$G$5:$G$9,'Import Ready'!I69)=0,"Check territory",IF(COUNTIF('Field Rules'!$H$5:$H$9,'Import Ready'!J69)=0,"Check lead source",IF(COUNTIF('Field Rules'!$I$5:$I$9,'Import Ready'!K69)=0,"Check segment",IF(COUNTIF('Field Rules'!$J$5:$J$7,'Import Ready'!L69)=0,"Check account status","OK")))))</x:f>
        <x:v>OK</x:v>
      </x:c>
      <x:c r="I69" s="86" t="str">
        <x:f>IF(B69&lt;&gt;"OK",B69,IF(D69&lt;&gt;"OK",D69,IF(C69&lt;&gt;"OK",C69,IF(E69&lt;&gt;"OK",E69,IF(F69&lt;&gt;"OK",F69,IF(G69&lt;&gt;"OK",G69,IF(H69&lt;&gt;"OK",H69,"Ready")))))))</x:f>
        <x:v>Ready</x:v>
      </x:c>
    </x:row>
    <x:row r="70" ht="21" customHeight="1">
      <x:c r="A70" s="87" t="str">
        <x:f>'Import Ready'!A70</x:f>
        <x:v>C-2066</x:v>
      </x:c>
      <x:c r="B70" s="88" t="str">
        <x:f>IF(OR('Import Ready'!A70="",'Import Ready'!B70="",'Import Ready'!C70="",'Import Ready'!E70="",'Import Ready'!F70="",'Import Ready'!G70="",'Import Ready'!H70="",'Import Ready'!I70="",'Import Ready'!J70="",'Import Ready'!K70="",'Import Ready'!L70="",'Import Ready'!M70="",'Entry Queue'!N70=""),"Missing required field","OK")</x:f>
        <x:v>OK</x:v>
      </x:c>
      <x:c r="C70" s="88" t="str">
        <x:f>IF('Import Ready'!F70="","Not checked",IF(OR(IFERROR(FIND("@",'Import Ready'!F70),0)=0,IFERROR(FIND(".",'Import Ready'!F70,FIND("@",'Import Ready'!F70)+2),0)=0),"Check email","OK"))</x:f>
        <x:v>OK</x:v>
      </x:c>
      <x:c r="D70" s="88" t="str">
        <x:f>IF(A70="","Not checked",IF(COUNTIF($A$5:$A$124,A70)&gt;1,"Duplicate record ID","OK"))</x:f>
        <x:v>OK</x:v>
      </x:c>
      <x:c r="E70" s="88" t="str">
        <x:f>IF('Import Ready'!F70="","Not checked",IF(COUNTIF('Import Ready'!$F$5:$F$124,'Import Ready'!F70)&gt;1,"Duplicate email","OK"))</x:f>
        <x:v>OK</x:v>
      </x:c>
      <x:c r="F70" s="88" t="str">
        <x:f>IF('Import Ready'!G70="","Not checked",IF(OR(LEN('Import Ready'!G70)&lt;10,LEN('Import Ready'!G70)&gt;22),"Check phone length","OK"))</x:f>
        <x:v>OK</x:v>
      </x:c>
      <x:c r="G70" s="88" t="str">
        <x:f>IF('Import Ready'!G70="","Not checked",IF(COUNTIF('Import Ready'!$G$5:$G$124,'Import Ready'!G70)&gt;1,"Duplicate phone","OK"))</x:f>
        <x:v>OK</x:v>
      </x:c>
      <x:c r="H70" s="88" t="str">
        <x:f>IF(COUNTIF('Field Rules'!$F$5:$F$9,'Import Ready'!H70)=0,"Check country",IF(COUNTIF('Field Rules'!$G$5:$G$9,'Import Ready'!I70)=0,"Check territory",IF(COUNTIF('Field Rules'!$H$5:$H$9,'Import Ready'!J70)=0,"Check lead source",IF(COUNTIF('Field Rules'!$I$5:$I$9,'Import Ready'!K70)=0,"Check segment",IF(COUNTIF('Field Rules'!$J$5:$J$7,'Import Ready'!L70)=0,"Check account status","OK")))))</x:f>
        <x:v>OK</x:v>
      </x:c>
      <x:c r="I70" s="89" t="str">
        <x:f>IF(B70&lt;&gt;"OK",B70,IF(D70&lt;&gt;"OK",D70,IF(C70&lt;&gt;"OK",C70,IF(E70&lt;&gt;"OK",E70,IF(F70&lt;&gt;"OK",F70,IF(G70&lt;&gt;"OK",G70,IF(H70&lt;&gt;"OK",H70,"Ready")))))))</x:f>
        <x:v>Ready</x:v>
      </x:c>
    </x:row>
    <x:row r="71" ht="21" customHeight="1">
      <x:c r="A71" s="84" t="str">
        <x:f>'Import Ready'!A71</x:f>
        <x:v>C-2067</x:v>
      </x:c>
      <x:c r="B71" s="85" t="str">
        <x:f>IF(OR('Import Ready'!A71="",'Import Ready'!B71="",'Import Ready'!C71="",'Import Ready'!E71="",'Import Ready'!F71="",'Import Ready'!G71="",'Import Ready'!H71="",'Import Ready'!I71="",'Import Ready'!J71="",'Import Ready'!K71="",'Import Ready'!L71="",'Import Ready'!M71="",'Entry Queue'!N71=""),"Missing required field","OK")</x:f>
        <x:v>OK</x:v>
      </x:c>
      <x:c r="C71" s="85" t="str">
        <x:f>IF('Import Ready'!F71="","Not checked",IF(OR(IFERROR(FIND("@",'Import Ready'!F71),0)=0,IFERROR(FIND(".",'Import Ready'!F71,FIND("@",'Import Ready'!F71)+2),0)=0),"Check email","OK"))</x:f>
        <x:v>OK</x:v>
      </x:c>
      <x:c r="D71" s="85" t="str">
        <x:f>IF(A71="","Not checked",IF(COUNTIF($A$5:$A$124,A71)&gt;1,"Duplicate record ID","OK"))</x:f>
        <x:v>OK</x:v>
      </x:c>
      <x:c r="E71" s="85" t="str">
        <x:f>IF('Import Ready'!F71="","Not checked",IF(COUNTIF('Import Ready'!$F$5:$F$124,'Import Ready'!F71)&gt;1,"Duplicate email","OK"))</x:f>
        <x:v>OK</x:v>
      </x:c>
      <x:c r="F71" s="85" t="str">
        <x:f>IF('Import Ready'!G71="","Not checked",IF(OR(LEN('Import Ready'!G71)&lt;10,LEN('Import Ready'!G71)&gt;22),"Check phone length","OK"))</x:f>
        <x:v>OK</x:v>
      </x:c>
      <x:c r="G71" s="85" t="str">
        <x:f>IF('Import Ready'!G71="","Not checked",IF(COUNTIF('Import Ready'!$G$5:$G$124,'Import Ready'!G71)&gt;1,"Duplicate phone","OK"))</x:f>
        <x:v>OK</x:v>
      </x:c>
      <x:c r="H71" s="85" t="str">
        <x:f>IF(COUNTIF('Field Rules'!$F$5:$F$9,'Import Ready'!H71)=0,"Check country",IF(COUNTIF('Field Rules'!$G$5:$G$9,'Import Ready'!I71)=0,"Check territory",IF(COUNTIF('Field Rules'!$H$5:$H$9,'Import Ready'!J71)=0,"Check lead source",IF(COUNTIF('Field Rules'!$I$5:$I$9,'Import Ready'!K71)=0,"Check segment",IF(COUNTIF('Field Rules'!$J$5:$J$7,'Import Ready'!L71)=0,"Check account status","OK")))))</x:f>
        <x:v>OK</x:v>
      </x:c>
      <x:c r="I71" s="86" t="str">
        <x:f>IF(B71&lt;&gt;"OK",B71,IF(D71&lt;&gt;"OK",D71,IF(C71&lt;&gt;"OK",C71,IF(E71&lt;&gt;"OK",E71,IF(F71&lt;&gt;"OK",F71,IF(G71&lt;&gt;"OK",G71,IF(H71&lt;&gt;"OK",H71,"Ready")))))))</x:f>
        <x:v>Ready</x:v>
      </x:c>
    </x:row>
    <x:row r="72" ht="21" customHeight="1">
      <x:c r="A72" s="87" t="str">
        <x:f>'Import Ready'!A72</x:f>
        <x:v>C-2068</x:v>
      </x:c>
      <x:c r="B72" s="88" t="str">
        <x:f>IF(OR('Import Ready'!A72="",'Import Ready'!B72="",'Import Ready'!C72="",'Import Ready'!E72="",'Import Ready'!F72="",'Import Ready'!G72="",'Import Ready'!H72="",'Import Ready'!I72="",'Import Ready'!J72="",'Import Ready'!K72="",'Import Ready'!L72="",'Import Ready'!M72="",'Entry Queue'!N72=""),"Missing required field","OK")</x:f>
        <x:v>OK</x:v>
      </x:c>
      <x:c r="C72" s="88" t="str">
        <x:f>IF('Import Ready'!F72="","Not checked",IF(OR(IFERROR(FIND("@",'Import Ready'!F72),0)=0,IFERROR(FIND(".",'Import Ready'!F72,FIND("@",'Import Ready'!F72)+2),0)=0),"Check email","OK"))</x:f>
        <x:v>OK</x:v>
      </x:c>
      <x:c r="D72" s="88" t="str">
        <x:f>IF(A72="","Not checked",IF(COUNTIF($A$5:$A$124,A72)&gt;1,"Duplicate record ID","OK"))</x:f>
        <x:v>OK</x:v>
      </x:c>
      <x:c r="E72" s="88" t="str">
        <x:f>IF('Import Ready'!F72="","Not checked",IF(COUNTIF('Import Ready'!$F$5:$F$124,'Import Ready'!F72)&gt;1,"Duplicate email","OK"))</x:f>
        <x:v>OK</x:v>
      </x:c>
      <x:c r="F72" s="88" t="str">
        <x:f>IF('Import Ready'!G72="","Not checked",IF(OR(LEN('Import Ready'!G72)&lt;10,LEN('Import Ready'!G72)&gt;22),"Check phone length","OK"))</x:f>
        <x:v>OK</x:v>
      </x:c>
      <x:c r="G72" s="88" t="str">
        <x:f>IF('Import Ready'!G72="","Not checked",IF(COUNTIF('Import Ready'!$G$5:$G$124,'Import Ready'!G72)&gt;1,"Duplicate phone","OK"))</x:f>
        <x:v>OK</x:v>
      </x:c>
      <x:c r="H72" s="88" t="str">
        <x:f>IF(COUNTIF('Field Rules'!$F$5:$F$9,'Import Ready'!H72)=0,"Check country",IF(COUNTIF('Field Rules'!$G$5:$G$9,'Import Ready'!I72)=0,"Check territory",IF(COUNTIF('Field Rules'!$H$5:$H$9,'Import Ready'!J72)=0,"Check lead source",IF(COUNTIF('Field Rules'!$I$5:$I$9,'Import Ready'!K72)=0,"Check segment",IF(COUNTIF('Field Rules'!$J$5:$J$7,'Import Ready'!L72)=0,"Check account status","OK")))))</x:f>
        <x:v>OK</x:v>
      </x:c>
      <x:c r="I72" s="89" t="str">
        <x:f>IF(B72&lt;&gt;"OK",B72,IF(D72&lt;&gt;"OK",D72,IF(C72&lt;&gt;"OK",C72,IF(E72&lt;&gt;"OK",E72,IF(F72&lt;&gt;"OK",F72,IF(G72&lt;&gt;"OK",G72,IF(H72&lt;&gt;"OK",H72,"Ready")))))))</x:f>
        <x:v>Ready</x:v>
      </x:c>
    </x:row>
    <x:row r="73" ht="21" customHeight="1">
      <x:c r="A73" s="84" t="str">
        <x:f>'Import Ready'!A73</x:f>
        <x:v>C-2069</x:v>
      </x:c>
      <x:c r="B73" s="85" t="str">
        <x:f>IF(OR('Import Ready'!A73="",'Import Ready'!B73="",'Import Ready'!C73="",'Import Ready'!E73="",'Import Ready'!F73="",'Import Ready'!G73="",'Import Ready'!H73="",'Import Ready'!I73="",'Import Ready'!J73="",'Import Ready'!K73="",'Import Ready'!L73="",'Import Ready'!M73="",'Entry Queue'!N73=""),"Missing required field","OK")</x:f>
        <x:v>OK</x:v>
      </x:c>
      <x:c r="C73" s="85" t="str">
        <x:f>IF('Import Ready'!F73="","Not checked",IF(OR(IFERROR(FIND("@",'Import Ready'!F73),0)=0,IFERROR(FIND(".",'Import Ready'!F73,FIND("@",'Import Ready'!F73)+2),0)=0),"Check email","OK"))</x:f>
        <x:v>OK</x:v>
      </x:c>
      <x:c r="D73" s="85" t="str">
        <x:f>IF(A73="","Not checked",IF(COUNTIF($A$5:$A$124,A73)&gt;1,"Duplicate record ID","OK"))</x:f>
        <x:v>OK</x:v>
      </x:c>
      <x:c r="E73" s="85" t="str">
        <x:f>IF('Import Ready'!F73="","Not checked",IF(COUNTIF('Import Ready'!$F$5:$F$124,'Import Ready'!F73)&gt;1,"Duplicate email","OK"))</x:f>
        <x:v>OK</x:v>
      </x:c>
      <x:c r="F73" s="85" t="str">
        <x:f>IF('Import Ready'!G73="","Not checked",IF(OR(LEN('Import Ready'!G73)&lt;10,LEN('Import Ready'!G73)&gt;22),"Check phone length","OK"))</x:f>
        <x:v>OK</x:v>
      </x:c>
      <x:c r="G73" s="85" t="str">
        <x:f>IF('Import Ready'!G73="","Not checked",IF(COUNTIF('Import Ready'!$G$5:$G$124,'Import Ready'!G73)&gt;1,"Duplicate phone","OK"))</x:f>
        <x:v>OK</x:v>
      </x:c>
      <x:c r="H73" s="85" t="str">
        <x:f>IF(COUNTIF('Field Rules'!$F$5:$F$9,'Import Ready'!H73)=0,"Check country",IF(COUNTIF('Field Rules'!$G$5:$G$9,'Import Ready'!I73)=0,"Check territory",IF(COUNTIF('Field Rules'!$H$5:$H$9,'Import Ready'!J73)=0,"Check lead source",IF(COUNTIF('Field Rules'!$I$5:$I$9,'Import Ready'!K73)=0,"Check segment",IF(COUNTIF('Field Rules'!$J$5:$J$7,'Import Ready'!L73)=0,"Check account status","OK")))))</x:f>
        <x:v>OK</x:v>
      </x:c>
      <x:c r="I73" s="86" t="str">
        <x:f>IF(B73&lt;&gt;"OK",B73,IF(D73&lt;&gt;"OK",D73,IF(C73&lt;&gt;"OK",C73,IF(E73&lt;&gt;"OK",E73,IF(F73&lt;&gt;"OK",F73,IF(G73&lt;&gt;"OK",G73,IF(H73&lt;&gt;"OK",H73,"Ready")))))))</x:f>
        <x:v>Ready</x:v>
      </x:c>
    </x:row>
    <x:row r="74" ht="21" customHeight="1">
      <x:c r="A74" s="87" t="str">
        <x:f>'Import Ready'!A74</x:f>
        <x:v>C-2070</x:v>
      </x:c>
      <x:c r="B74" s="88" t="str">
        <x:f>IF(OR('Import Ready'!A74="",'Import Ready'!B74="",'Import Ready'!C74="",'Import Ready'!E74="",'Import Ready'!F74="",'Import Ready'!G74="",'Import Ready'!H74="",'Import Ready'!I74="",'Import Ready'!J74="",'Import Ready'!K74="",'Import Ready'!L74="",'Import Ready'!M74="",'Entry Queue'!N74=""),"Missing required field","OK")</x:f>
        <x:v>OK</x:v>
      </x:c>
      <x:c r="C74" s="88" t="str">
        <x:f>IF('Import Ready'!F74="","Not checked",IF(OR(IFERROR(FIND("@",'Import Ready'!F74),0)=0,IFERROR(FIND(".",'Import Ready'!F74,FIND("@",'Import Ready'!F74)+2),0)=0),"Check email","OK"))</x:f>
        <x:v>OK</x:v>
      </x:c>
      <x:c r="D74" s="88" t="str">
        <x:f>IF(A74="","Not checked",IF(COUNTIF($A$5:$A$124,A74)&gt;1,"Duplicate record ID","OK"))</x:f>
        <x:v>OK</x:v>
      </x:c>
      <x:c r="E74" s="88" t="str">
        <x:f>IF('Import Ready'!F74="","Not checked",IF(COUNTIF('Import Ready'!$F$5:$F$124,'Import Ready'!F74)&gt;1,"Duplicate email","OK"))</x:f>
        <x:v>OK</x:v>
      </x:c>
      <x:c r="F74" s="88" t="str">
        <x:f>IF('Import Ready'!G74="","Not checked",IF(OR(LEN('Import Ready'!G74)&lt;10,LEN('Import Ready'!G74)&gt;22),"Check phone length","OK"))</x:f>
        <x:v>OK</x:v>
      </x:c>
      <x:c r="G74" s="88" t="str">
        <x:f>IF('Import Ready'!G74="","Not checked",IF(COUNTIF('Import Ready'!$G$5:$G$124,'Import Ready'!G74)&gt;1,"Duplicate phone","OK"))</x:f>
        <x:v>OK</x:v>
      </x:c>
      <x:c r="H74" s="88" t="str">
        <x:f>IF(COUNTIF('Field Rules'!$F$5:$F$9,'Import Ready'!H74)=0,"Check country",IF(COUNTIF('Field Rules'!$G$5:$G$9,'Import Ready'!I74)=0,"Check territory",IF(COUNTIF('Field Rules'!$H$5:$H$9,'Import Ready'!J74)=0,"Check lead source",IF(COUNTIF('Field Rules'!$I$5:$I$9,'Import Ready'!K74)=0,"Check segment",IF(COUNTIF('Field Rules'!$J$5:$J$7,'Import Ready'!L74)=0,"Check account status","OK")))))</x:f>
        <x:v>Check account status</x:v>
      </x:c>
      <x:c r="I74" s="89" t="str">
        <x:f>IF(B74&lt;&gt;"OK",B74,IF(D74&lt;&gt;"OK",D74,IF(C74&lt;&gt;"OK",C74,IF(E74&lt;&gt;"OK",E74,IF(F74&lt;&gt;"OK",F74,IF(G74&lt;&gt;"OK",G74,IF(H74&lt;&gt;"OK",H74,"Ready")))))))</x:f>
        <x:v>Check account status</x:v>
      </x:c>
    </x:row>
    <x:row r="75" ht="21" customHeight="1">
      <x:c r="A75" s="84" t="str">
        <x:f>'Import Ready'!A75</x:f>
        <x:v>C-2071</x:v>
      </x:c>
      <x:c r="B75" s="85" t="str">
        <x:f>IF(OR('Import Ready'!A75="",'Import Ready'!B75="",'Import Ready'!C75="",'Import Ready'!E75="",'Import Ready'!F75="",'Import Ready'!G75="",'Import Ready'!H75="",'Import Ready'!I75="",'Import Ready'!J75="",'Import Ready'!K75="",'Import Ready'!L75="",'Import Ready'!M75="",'Entry Queue'!N75=""),"Missing required field","OK")</x:f>
        <x:v>OK</x:v>
      </x:c>
      <x:c r="C75" s="85" t="str">
        <x:f>IF('Import Ready'!F75="","Not checked",IF(OR(IFERROR(FIND("@",'Import Ready'!F75),0)=0,IFERROR(FIND(".",'Import Ready'!F75,FIND("@",'Import Ready'!F75)+2),0)=0),"Check email","OK"))</x:f>
        <x:v>OK</x:v>
      </x:c>
      <x:c r="D75" s="85" t="str">
        <x:f>IF(A75="","Not checked",IF(COUNTIF($A$5:$A$124,A75)&gt;1,"Duplicate record ID","OK"))</x:f>
        <x:v>OK</x:v>
      </x:c>
      <x:c r="E75" s="85" t="str">
        <x:f>IF('Import Ready'!F75="","Not checked",IF(COUNTIF('Import Ready'!$F$5:$F$124,'Import Ready'!F75)&gt;1,"Duplicate email","OK"))</x:f>
        <x:v>OK</x:v>
      </x:c>
      <x:c r="F75" s="85" t="str">
        <x:f>IF('Import Ready'!G75="","Not checked",IF(OR(LEN('Import Ready'!G75)&lt;10,LEN('Import Ready'!G75)&gt;22),"Check phone length","OK"))</x:f>
        <x:v>OK</x:v>
      </x:c>
      <x:c r="G75" s="85" t="str">
        <x:f>IF('Import Ready'!G75="","Not checked",IF(COUNTIF('Import Ready'!$G$5:$G$124,'Import Ready'!G75)&gt;1,"Duplicate phone","OK"))</x:f>
        <x:v>OK</x:v>
      </x:c>
      <x:c r="H75" s="85" t="str">
        <x:f>IF(COUNTIF('Field Rules'!$F$5:$F$9,'Import Ready'!H75)=0,"Check country",IF(COUNTIF('Field Rules'!$G$5:$G$9,'Import Ready'!I75)=0,"Check territory",IF(COUNTIF('Field Rules'!$H$5:$H$9,'Import Ready'!J75)=0,"Check lead source",IF(COUNTIF('Field Rules'!$I$5:$I$9,'Import Ready'!K75)=0,"Check segment",IF(COUNTIF('Field Rules'!$J$5:$J$7,'Import Ready'!L75)=0,"Check account status","OK")))))</x:f>
        <x:v>OK</x:v>
      </x:c>
      <x:c r="I75" s="86" t="str">
        <x:f>IF(B75&lt;&gt;"OK",B75,IF(D75&lt;&gt;"OK",D75,IF(C75&lt;&gt;"OK",C75,IF(E75&lt;&gt;"OK",E75,IF(F75&lt;&gt;"OK",F75,IF(G75&lt;&gt;"OK",G75,IF(H75&lt;&gt;"OK",H75,"Ready")))))))</x:f>
        <x:v>Ready</x:v>
      </x:c>
    </x:row>
    <x:row r="76" ht="21" customHeight="1">
      <x:c r="A76" s="87" t="str">
        <x:f>'Import Ready'!A76</x:f>
        <x:v>C-2072</x:v>
      </x:c>
      <x:c r="B76" s="88" t="str">
        <x:f>IF(OR('Import Ready'!A76="",'Import Ready'!B76="",'Import Ready'!C76="",'Import Ready'!E76="",'Import Ready'!F76="",'Import Ready'!G76="",'Import Ready'!H76="",'Import Ready'!I76="",'Import Ready'!J76="",'Import Ready'!K76="",'Import Ready'!L76="",'Import Ready'!M76="",'Entry Queue'!N76=""),"Missing required field","OK")</x:f>
        <x:v>OK</x:v>
      </x:c>
      <x:c r="C76" s="88" t="str">
        <x:f>IF('Import Ready'!F76="","Not checked",IF(OR(IFERROR(FIND("@",'Import Ready'!F76),0)=0,IFERROR(FIND(".",'Import Ready'!F76,FIND("@",'Import Ready'!F76)+2),0)=0),"Check email","OK"))</x:f>
        <x:v>OK</x:v>
      </x:c>
      <x:c r="D76" s="88" t="str">
        <x:f>IF(A76="","Not checked",IF(COUNTIF($A$5:$A$124,A76)&gt;1,"Duplicate record ID","OK"))</x:f>
        <x:v>OK</x:v>
      </x:c>
      <x:c r="E76" s="88" t="str">
        <x:f>IF('Import Ready'!F76="","Not checked",IF(COUNTIF('Import Ready'!$F$5:$F$124,'Import Ready'!F76)&gt;1,"Duplicate email","OK"))</x:f>
        <x:v>OK</x:v>
      </x:c>
      <x:c r="F76" s="88" t="str">
        <x:f>IF('Import Ready'!G76="","Not checked",IF(OR(LEN('Import Ready'!G76)&lt;10,LEN('Import Ready'!G76)&gt;22),"Check phone length","OK"))</x:f>
        <x:v>OK</x:v>
      </x:c>
      <x:c r="G76" s="88" t="str">
        <x:f>IF('Import Ready'!G76="","Not checked",IF(COUNTIF('Import Ready'!$G$5:$G$124,'Import Ready'!G76)&gt;1,"Duplicate phone","OK"))</x:f>
        <x:v>OK</x:v>
      </x:c>
      <x:c r="H76" s="88" t="str">
        <x:f>IF(COUNTIF('Field Rules'!$F$5:$F$9,'Import Ready'!H76)=0,"Check country",IF(COUNTIF('Field Rules'!$G$5:$G$9,'Import Ready'!I76)=0,"Check territory",IF(COUNTIF('Field Rules'!$H$5:$H$9,'Import Ready'!J76)=0,"Check lead source",IF(COUNTIF('Field Rules'!$I$5:$I$9,'Import Ready'!K76)=0,"Check segment",IF(COUNTIF('Field Rules'!$J$5:$J$7,'Import Ready'!L76)=0,"Check account status","OK")))))</x:f>
        <x:v>OK</x:v>
      </x:c>
      <x:c r="I76" s="89" t="str">
        <x:f>IF(B76&lt;&gt;"OK",B76,IF(D76&lt;&gt;"OK",D76,IF(C76&lt;&gt;"OK",C76,IF(E76&lt;&gt;"OK",E76,IF(F76&lt;&gt;"OK",F76,IF(G76&lt;&gt;"OK",G76,IF(H76&lt;&gt;"OK",H76,"Ready")))))))</x:f>
        <x:v>Ready</x:v>
      </x:c>
    </x:row>
    <x:row r="77" ht="21" customHeight="1">
      <x:c r="A77" s="84" t="str">
        <x:f>'Import Ready'!A77</x:f>
        <x:v>C-2073</x:v>
      </x:c>
      <x:c r="B77" s="85" t="str">
        <x:f>IF(OR('Import Ready'!A77="",'Import Ready'!B77="",'Import Ready'!C77="",'Import Ready'!E77="",'Import Ready'!F77="",'Import Ready'!G77="",'Import Ready'!H77="",'Import Ready'!I77="",'Import Ready'!J77="",'Import Ready'!K77="",'Import Ready'!L77="",'Import Ready'!M77="",'Entry Queue'!N77=""),"Missing required field","OK")</x:f>
        <x:v>OK</x:v>
      </x:c>
      <x:c r="C77" s="85" t="str">
        <x:f>IF('Import Ready'!F77="","Not checked",IF(OR(IFERROR(FIND("@",'Import Ready'!F77),0)=0,IFERROR(FIND(".",'Import Ready'!F77,FIND("@",'Import Ready'!F77)+2),0)=0),"Check email","OK"))</x:f>
        <x:v>OK</x:v>
      </x:c>
      <x:c r="D77" s="85" t="str">
        <x:f>IF(A77="","Not checked",IF(COUNTIF($A$5:$A$124,A77)&gt;1,"Duplicate record ID","OK"))</x:f>
        <x:v>OK</x:v>
      </x:c>
      <x:c r="E77" s="85" t="str">
        <x:f>IF('Import Ready'!F77="","Not checked",IF(COUNTIF('Import Ready'!$F$5:$F$124,'Import Ready'!F77)&gt;1,"Duplicate email","OK"))</x:f>
        <x:v>OK</x:v>
      </x:c>
      <x:c r="F77" s="85" t="str">
        <x:f>IF('Import Ready'!G77="","Not checked",IF(OR(LEN('Import Ready'!G77)&lt;10,LEN('Import Ready'!G77)&gt;22),"Check phone length","OK"))</x:f>
        <x:v>OK</x:v>
      </x:c>
      <x:c r="G77" s="85" t="str">
        <x:f>IF('Import Ready'!G77="","Not checked",IF(COUNTIF('Import Ready'!$G$5:$G$124,'Import Ready'!G77)&gt;1,"Duplicate phone","OK"))</x:f>
        <x:v>OK</x:v>
      </x:c>
      <x:c r="H77" s="85" t="str">
        <x:f>IF(COUNTIF('Field Rules'!$F$5:$F$9,'Import Ready'!H77)=0,"Check country",IF(COUNTIF('Field Rules'!$G$5:$G$9,'Import Ready'!I77)=0,"Check territory",IF(COUNTIF('Field Rules'!$H$5:$H$9,'Import Ready'!J77)=0,"Check lead source",IF(COUNTIF('Field Rules'!$I$5:$I$9,'Import Ready'!K77)=0,"Check segment",IF(COUNTIF('Field Rules'!$J$5:$J$7,'Import Ready'!L77)=0,"Check account status","OK")))))</x:f>
        <x:v>OK</x:v>
      </x:c>
      <x:c r="I77" s="86" t="str">
        <x:f>IF(B77&lt;&gt;"OK",B77,IF(D77&lt;&gt;"OK",D77,IF(C77&lt;&gt;"OK",C77,IF(E77&lt;&gt;"OK",E77,IF(F77&lt;&gt;"OK",F77,IF(G77&lt;&gt;"OK",G77,IF(H77&lt;&gt;"OK",H77,"Ready")))))))</x:f>
        <x:v>Ready</x:v>
      </x:c>
    </x:row>
    <x:row r="78" ht="21" customHeight="1">
      <x:c r="A78" s="87" t="str">
        <x:f>'Import Ready'!A78</x:f>
        <x:v>C-2074</x:v>
      </x:c>
      <x:c r="B78" s="88" t="str">
        <x:f>IF(OR('Import Ready'!A78="",'Import Ready'!B78="",'Import Ready'!C78="",'Import Ready'!E78="",'Import Ready'!F78="",'Import Ready'!G78="",'Import Ready'!H78="",'Import Ready'!I78="",'Import Ready'!J78="",'Import Ready'!K78="",'Import Ready'!L78="",'Import Ready'!M78="",'Entry Queue'!N78=""),"Missing required field","OK")</x:f>
        <x:v>OK</x:v>
      </x:c>
      <x:c r="C78" s="88" t="str">
        <x:f>IF('Import Ready'!F78="","Not checked",IF(OR(IFERROR(FIND("@",'Import Ready'!F78),0)=0,IFERROR(FIND(".",'Import Ready'!F78,FIND("@",'Import Ready'!F78)+2),0)=0),"Check email","OK"))</x:f>
        <x:v>OK</x:v>
      </x:c>
      <x:c r="D78" s="88" t="str">
        <x:f>IF(A78="","Not checked",IF(COUNTIF($A$5:$A$124,A78)&gt;1,"Duplicate record ID","OK"))</x:f>
        <x:v>OK</x:v>
      </x:c>
      <x:c r="E78" s="88" t="str">
        <x:f>IF('Import Ready'!F78="","Not checked",IF(COUNTIF('Import Ready'!$F$5:$F$124,'Import Ready'!F78)&gt;1,"Duplicate email","OK"))</x:f>
        <x:v>OK</x:v>
      </x:c>
      <x:c r="F78" s="88" t="str">
        <x:f>IF('Import Ready'!G78="","Not checked",IF(OR(LEN('Import Ready'!G78)&lt;10,LEN('Import Ready'!G78)&gt;22),"Check phone length","OK"))</x:f>
        <x:v>OK</x:v>
      </x:c>
      <x:c r="G78" s="88" t="str">
        <x:f>IF('Import Ready'!G78="","Not checked",IF(COUNTIF('Import Ready'!$G$5:$G$124,'Import Ready'!G78)&gt;1,"Duplicate phone","OK"))</x:f>
        <x:v>OK</x:v>
      </x:c>
      <x:c r="H78" s="88" t="str">
        <x:f>IF(COUNTIF('Field Rules'!$F$5:$F$9,'Import Ready'!H78)=0,"Check country",IF(COUNTIF('Field Rules'!$G$5:$G$9,'Import Ready'!I78)=0,"Check territory",IF(COUNTIF('Field Rules'!$H$5:$H$9,'Import Ready'!J78)=0,"Check lead source",IF(COUNTIF('Field Rules'!$I$5:$I$9,'Import Ready'!K78)=0,"Check segment",IF(COUNTIF('Field Rules'!$J$5:$J$7,'Import Ready'!L78)=0,"Check account status","OK")))))</x:f>
        <x:v>OK</x:v>
      </x:c>
      <x:c r="I78" s="89" t="str">
        <x:f>IF(B78&lt;&gt;"OK",B78,IF(D78&lt;&gt;"OK",D78,IF(C78&lt;&gt;"OK",C78,IF(E78&lt;&gt;"OK",E78,IF(F78&lt;&gt;"OK",F78,IF(G78&lt;&gt;"OK",G78,IF(H78&lt;&gt;"OK",H78,"Ready")))))))</x:f>
        <x:v>Ready</x:v>
      </x:c>
    </x:row>
    <x:row r="79" ht="21" customHeight="1">
      <x:c r="A79" s="84" t="str">
        <x:f>'Import Ready'!A79</x:f>
        <x:v>C-2075</x:v>
      </x:c>
      <x:c r="B79" s="85" t="str">
        <x:f>IF(OR('Import Ready'!A79="",'Import Ready'!B79="",'Import Ready'!C79="",'Import Ready'!E79="",'Import Ready'!F79="",'Import Ready'!G79="",'Import Ready'!H79="",'Import Ready'!I79="",'Import Ready'!J79="",'Import Ready'!K79="",'Import Ready'!L79="",'Import Ready'!M79="",'Entry Queue'!N79=""),"Missing required field","OK")</x:f>
        <x:v>OK</x:v>
      </x:c>
      <x:c r="C79" s="85" t="str">
        <x:f>IF('Import Ready'!F79="","Not checked",IF(OR(IFERROR(FIND("@",'Import Ready'!F79),0)=0,IFERROR(FIND(".",'Import Ready'!F79,FIND("@",'Import Ready'!F79)+2),0)=0),"Check email","OK"))</x:f>
        <x:v>OK</x:v>
      </x:c>
      <x:c r="D79" s="85" t="str">
        <x:f>IF(A79="","Not checked",IF(COUNTIF($A$5:$A$124,A79)&gt;1,"Duplicate record ID","OK"))</x:f>
        <x:v>OK</x:v>
      </x:c>
      <x:c r="E79" s="85" t="str">
        <x:f>IF('Import Ready'!F79="","Not checked",IF(COUNTIF('Import Ready'!$F$5:$F$124,'Import Ready'!F79)&gt;1,"Duplicate email","OK"))</x:f>
        <x:v>OK</x:v>
      </x:c>
      <x:c r="F79" s="85" t="str">
        <x:f>IF('Import Ready'!G79="","Not checked",IF(OR(LEN('Import Ready'!G79)&lt;10,LEN('Import Ready'!G79)&gt;22),"Check phone length","OK"))</x:f>
        <x:v>OK</x:v>
      </x:c>
      <x:c r="G79" s="85" t="str">
        <x:f>IF('Import Ready'!G79="","Not checked",IF(COUNTIF('Import Ready'!$G$5:$G$124,'Import Ready'!G79)&gt;1,"Duplicate phone","OK"))</x:f>
        <x:v>OK</x:v>
      </x:c>
      <x:c r="H79" s="85" t="str">
        <x:f>IF(COUNTIF('Field Rules'!$F$5:$F$9,'Import Ready'!H79)=0,"Check country",IF(COUNTIF('Field Rules'!$G$5:$G$9,'Import Ready'!I79)=0,"Check territory",IF(COUNTIF('Field Rules'!$H$5:$H$9,'Import Ready'!J79)=0,"Check lead source",IF(COUNTIF('Field Rules'!$I$5:$I$9,'Import Ready'!K79)=0,"Check segment",IF(COUNTIF('Field Rules'!$J$5:$J$7,'Import Ready'!L79)=0,"Check account status","OK")))))</x:f>
        <x:v>OK</x:v>
      </x:c>
      <x:c r="I79" s="86" t="str">
        <x:f>IF(B79&lt;&gt;"OK",B79,IF(D79&lt;&gt;"OK",D79,IF(C79&lt;&gt;"OK",C79,IF(E79&lt;&gt;"OK",E79,IF(F79&lt;&gt;"OK",F79,IF(G79&lt;&gt;"OK",G79,IF(H79&lt;&gt;"OK",H79,"Ready")))))))</x:f>
        <x:v>Ready</x:v>
      </x:c>
    </x:row>
    <x:row r="80" ht="21" customHeight="1">
      <x:c r="A80" s="87" t="str">
        <x:f>'Import Ready'!A80</x:f>
        <x:v>C-2076</x:v>
      </x:c>
      <x:c r="B80" s="88" t="str">
        <x:f>IF(OR('Import Ready'!A80="",'Import Ready'!B80="",'Import Ready'!C80="",'Import Ready'!E80="",'Import Ready'!F80="",'Import Ready'!G80="",'Import Ready'!H80="",'Import Ready'!I80="",'Import Ready'!J80="",'Import Ready'!K80="",'Import Ready'!L80="",'Import Ready'!M80="",'Entry Queue'!N80=""),"Missing required field","OK")</x:f>
        <x:v>OK</x:v>
      </x:c>
      <x:c r="C80" s="88" t="str">
        <x:f>IF('Import Ready'!F80="","Not checked",IF(OR(IFERROR(FIND("@",'Import Ready'!F80),0)=0,IFERROR(FIND(".",'Import Ready'!F80,FIND("@",'Import Ready'!F80)+2),0)=0),"Check email","OK"))</x:f>
        <x:v>OK</x:v>
      </x:c>
      <x:c r="D80" s="88" t="str">
        <x:f>IF(A80="","Not checked",IF(COUNTIF($A$5:$A$124,A80)&gt;1,"Duplicate record ID","OK"))</x:f>
        <x:v>OK</x:v>
      </x:c>
      <x:c r="E80" s="88" t="str">
        <x:f>IF('Import Ready'!F80="","Not checked",IF(COUNTIF('Import Ready'!$F$5:$F$124,'Import Ready'!F80)&gt;1,"Duplicate email","OK"))</x:f>
        <x:v>OK</x:v>
      </x:c>
      <x:c r="F80" s="88" t="str">
        <x:f>IF('Import Ready'!G80="","Not checked",IF(OR(LEN('Import Ready'!G80)&lt;10,LEN('Import Ready'!G80)&gt;22),"Check phone length","OK"))</x:f>
        <x:v>OK</x:v>
      </x:c>
      <x:c r="G80" s="88" t="str">
        <x:f>IF('Import Ready'!G80="","Not checked",IF(COUNTIF('Import Ready'!$G$5:$G$124,'Import Ready'!G80)&gt;1,"Duplicate phone","OK"))</x:f>
        <x:v>Duplicate phone</x:v>
      </x:c>
      <x:c r="H80" s="88" t="str">
        <x:f>IF(COUNTIF('Field Rules'!$F$5:$F$9,'Import Ready'!H80)=0,"Check country",IF(COUNTIF('Field Rules'!$G$5:$G$9,'Import Ready'!I80)=0,"Check territory",IF(COUNTIF('Field Rules'!$H$5:$H$9,'Import Ready'!J80)=0,"Check lead source",IF(COUNTIF('Field Rules'!$I$5:$I$9,'Import Ready'!K80)=0,"Check segment",IF(COUNTIF('Field Rules'!$J$5:$J$7,'Import Ready'!L80)=0,"Check account status","OK")))))</x:f>
        <x:v>OK</x:v>
      </x:c>
      <x:c r="I80" s="89" t="str">
        <x:f>IF(B80&lt;&gt;"OK",B80,IF(D80&lt;&gt;"OK",D80,IF(C80&lt;&gt;"OK",C80,IF(E80&lt;&gt;"OK",E80,IF(F80&lt;&gt;"OK",F80,IF(G80&lt;&gt;"OK",G80,IF(H80&lt;&gt;"OK",H80,"Ready")))))))</x:f>
        <x:v>Duplicate phone</x:v>
      </x:c>
    </x:row>
    <x:row r="81" ht="21" customHeight="1">
      <x:c r="A81" s="84" t="str">
        <x:f>'Import Ready'!A81</x:f>
        <x:v>C-2077</x:v>
      </x:c>
      <x:c r="B81" s="85" t="str">
        <x:f>IF(OR('Import Ready'!A81="",'Import Ready'!B81="",'Import Ready'!C81="",'Import Ready'!E81="",'Import Ready'!F81="",'Import Ready'!G81="",'Import Ready'!H81="",'Import Ready'!I81="",'Import Ready'!J81="",'Import Ready'!K81="",'Import Ready'!L81="",'Import Ready'!M81="",'Entry Queue'!N81=""),"Missing required field","OK")</x:f>
        <x:v>OK</x:v>
      </x:c>
      <x:c r="C81" s="85" t="str">
        <x:f>IF('Import Ready'!F81="","Not checked",IF(OR(IFERROR(FIND("@",'Import Ready'!F81),0)=0,IFERROR(FIND(".",'Import Ready'!F81,FIND("@",'Import Ready'!F81)+2),0)=0),"Check email","OK"))</x:f>
        <x:v>OK</x:v>
      </x:c>
      <x:c r="D81" s="85" t="str">
        <x:f>IF(A81="","Not checked",IF(COUNTIF($A$5:$A$124,A81)&gt;1,"Duplicate record ID","OK"))</x:f>
        <x:v>OK</x:v>
      </x:c>
      <x:c r="E81" s="85" t="str">
        <x:f>IF('Import Ready'!F81="","Not checked",IF(COUNTIF('Import Ready'!$F$5:$F$124,'Import Ready'!F81)&gt;1,"Duplicate email","OK"))</x:f>
        <x:v>OK</x:v>
      </x:c>
      <x:c r="F81" s="85" t="str">
        <x:f>IF('Import Ready'!G81="","Not checked",IF(OR(LEN('Import Ready'!G81)&lt;10,LEN('Import Ready'!G81)&gt;22),"Check phone length","OK"))</x:f>
        <x:v>OK</x:v>
      </x:c>
      <x:c r="G81" s="85" t="str">
        <x:f>IF('Import Ready'!G81="","Not checked",IF(COUNTIF('Import Ready'!$G$5:$G$124,'Import Ready'!G81)&gt;1,"Duplicate phone","OK"))</x:f>
        <x:v>OK</x:v>
      </x:c>
      <x:c r="H81" s="85" t="str">
        <x:f>IF(COUNTIF('Field Rules'!$F$5:$F$9,'Import Ready'!H81)=0,"Check country",IF(COUNTIF('Field Rules'!$G$5:$G$9,'Import Ready'!I81)=0,"Check territory",IF(COUNTIF('Field Rules'!$H$5:$H$9,'Import Ready'!J81)=0,"Check lead source",IF(COUNTIF('Field Rules'!$I$5:$I$9,'Import Ready'!K81)=0,"Check segment",IF(COUNTIF('Field Rules'!$J$5:$J$7,'Import Ready'!L81)=0,"Check account status","OK")))))</x:f>
        <x:v>OK</x:v>
      </x:c>
      <x:c r="I81" s="86" t="str">
        <x:f>IF(B81&lt;&gt;"OK",B81,IF(D81&lt;&gt;"OK",D81,IF(C81&lt;&gt;"OK",C81,IF(E81&lt;&gt;"OK",E81,IF(F81&lt;&gt;"OK",F81,IF(G81&lt;&gt;"OK",G81,IF(H81&lt;&gt;"OK",H81,"Ready")))))))</x:f>
        <x:v>Ready</x:v>
      </x:c>
    </x:row>
    <x:row r="82" ht="21" customHeight="1">
      <x:c r="A82" s="87" t="str">
        <x:f>'Import Ready'!A82</x:f>
        <x:v>C-2078</x:v>
      </x:c>
      <x:c r="B82" s="88" t="str">
        <x:f>IF(OR('Import Ready'!A82="",'Import Ready'!B82="",'Import Ready'!C82="",'Import Ready'!E82="",'Import Ready'!F82="",'Import Ready'!G82="",'Import Ready'!H82="",'Import Ready'!I82="",'Import Ready'!J82="",'Import Ready'!K82="",'Import Ready'!L82="",'Import Ready'!M82="",'Entry Queue'!N82=""),"Missing required field","OK")</x:f>
        <x:v>OK</x:v>
      </x:c>
      <x:c r="C82" s="88" t="str">
        <x:f>IF('Import Ready'!F82="","Not checked",IF(OR(IFERROR(FIND("@",'Import Ready'!F82),0)=0,IFERROR(FIND(".",'Import Ready'!F82,FIND("@",'Import Ready'!F82)+2),0)=0),"Check email","OK"))</x:f>
        <x:v>OK</x:v>
      </x:c>
      <x:c r="D82" s="88" t="str">
        <x:f>IF(A82="","Not checked",IF(COUNTIF($A$5:$A$124,A82)&gt;1,"Duplicate record ID","OK"))</x:f>
        <x:v>OK</x:v>
      </x:c>
      <x:c r="E82" s="88" t="str">
        <x:f>IF('Import Ready'!F82="","Not checked",IF(COUNTIF('Import Ready'!$F$5:$F$124,'Import Ready'!F82)&gt;1,"Duplicate email","OK"))</x:f>
        <x:v>OK</x:v>
      </x:c>
      <x:c r="F82" s="88" t="str">
        <x:f>IF('Import Ready'!G82="","Not checked",IF(OR(LEN('Import Ready'!G82)&lt;10,LEN('Import Ready'!G82)&gt;22),"Check phone length","OK"))</x:f>
        <x:v>OK</x:v>
      </x:c>
      <x:c r="G82" s="88" t="str">
        <x:f>IF('Import Ready'!G82="","Not checked",IF(COUNTIF('Import Ready'!$G$5:$G$124,'Import Ready'!G82)&gt;1,"Duplicate phone","OK"))</x:f>
        <x:v>OK</x:v>
      </x:c>
      <x:c r="H82" s="88" t="str">
        <x:f>IF(COUNTIF('Field Rules'!$F$5:$F$9,'Import Ready'!H82)=0,"Check country",IF(COUNTIF('Field Rules'!$G$5:$G$9,'Import Ready'!I82)=0,"Check territory",IF(COUNTIF('Field Rules'!$H$5:$H$9,'Import Ready'!J82)=0,"Check lead source",IF(COUNTIF('Field Rules'!$I$5:$I$9,'Import Ready'!K82)=0,"Check segment",IF(COUNTIF('Field Rules'!$J$5:$J$7,'Import Ready'!L82)=0,"Check account status","OK")))))</x:f>
        <x:v>OK</x:v>
      </x:c>
      <x:c r="I82" s="89" t="str">
        <x:f>IF(B82&lt;&gt;"OK",B82,IF(D82&lt;&gt;"OK",D82,IF(C82&lt;&gt;"OK",C82,IF(E82&lt;&gt;"OK",E82,IF(F82&lt;&gt;"OK",F82,IF(G82&lt;&gt;"OK",G82,IF(H82&lt;&gt;"OK",H82,"Ready")))))))</x:f>
        <x:v>Ready</x:v>
      </x:c>
    </x:row>
    <x:row r="83" ht="21" customHeight="1">
      <x:c r="A83" s="84" t="str">
        <x:f>'Import Ready'!A83</x:f>
        <x:v>C-2079</x:v>
      </x:c>
      <x:c r="B83" s="85" t="str">
        <x:f>IF(OR('Import Ready'!A83="",'Import Ready'!B83="",'Import Ready'!C83="",'Import Ready'!E83="",'Import Ready'!F83="",'Import Ready'!G83="",'Import Ready'!H83="",'Import Ready'!I83="",'Import Ready'!J83="",'Import Ready'!K83="",'Import Ready'!L83="",'Import Ready'!M83="",'Entry Queue'!N83=""),"Missing required field","OK")</x:f>
        <x:v>OK</x:v>
      </x:c>
      <x:c r="C83" s="85" t="str">
        <x:f>IF('Import Ready'!F83="","Not checked",IF(OR(IFERROR(FIND("@",'Import Ready'!F83),0)=0,IFERROR(FIND(".",'Import Ready'!F83,FIND("@",'Import Ready'!F83)+2),0)=0),"Check email","OK"))</x:f>
        <x:v>OK</x:v>
      </x:c>
      <x:c r="D83" s="85" t="str">
        <x:f>IF(A83="","Not checked",IF(COUNTIF($A$5:$A$124,A83)&gt;1,"Duplicate record ID","OK"))</x:f>
        <x:v>OK</x:v>
      </x:c>
      <x:c r="E83" s="85" t="str">
        <x:f>IF('Import Ready'!F83="","Not checked",IF(COUNTIF('Import Ready'!$F$5:$F$124,'Import Ready'!F83)&gt;1,"Duplicate email","OK"))</x:f>
        <x:v>OK</x:v>
      </x:c>
      <x:c r="F83" s="85" t="str">
        <x:f>IF('Import Ready'!G83="","Not checked",IF(OR(LEN('Import Ready'!G83)&lt;10,LEN('Import Ready'!G83)&gt;22),"Check phone length","OK"))</x:f>
        <x:v>OK</x:v>
      </x:c>
      <x:c r="G83" s="85" t="str">
        <x:f>IF('Import Ready'!G83="","Not checked",IF(COUNTIF('Import Ready'!$G$5:$G$124,'Import Ready'!G83)&gt;1,"Duplicate phone","OK"))</x:f>
        <x:v>OK</x:v>
      </x:c>
      <x:c r="H83" s="85" t="str">
        <x:f>IF(COUNTIF('Field Rules'!$F$5:$F$9,'Import Ready'!H83)=0,"Check country",IF(COUNTIF('Field Rules'!$G$5:$G$9,'Import Ready'!I83)=0,"Check territory",IF(COUNTIF('Field Rules'!$H$5:$H$9,'Import Ready'!J83)=0,"Check lead source",IF(COUNTIF('Field Rules'!$I$5:$I$9,'Import Ready'!K83)=0,"Check segment",IF(COUNTIF('Field Rules'!$J$5:$J$7,'Import Ready'!L83)=0,"Check account status","OK")))))</x:f>
        <x:v>OK</x:v>
      </x:c>
      <x:c r="I83" s="86" t="str">
        <x:f>IF(B83&lt;&gt;"OK",B83,IF(D83&lt;&gt;"OK",D83,IF(C83&lt;&gt;"OK",C83,IF(E83&lt;&gt;"OK",E83,IF(F83&lt;&gt;"OK",F83,IF(G83&lt;&gt;"OK",G83,IF(H83&lt;&gt;"OK",H83,"Ready")))))))</x:f>
        <x:v>Ready</x:v>
      </x:c>
    </x:row>
    <x:row r="84" ht="21" customHeight="1">
      <x:c r="A84" s="87" t="str">
        <x:f>'Import Ready'!A84</x:f>
        <x:v>C-2080</x:v>
      </x:c>
      <x:c r="B84" s="88" t="str">
        <x:f>IF(OR('Import Ready'!A84="",'Import Ready'!B84="",'Import Ready'!C84="",'Import Ready'!E84="",'Import Ready'!F84="",'Import Ready'!G84="",'Import Ready'!H84="",'Import Ready'!I84="",'Import Ready'!J84="",'Import Ready'!K84="",'Import Ready'!L84="",'Import Ready'!M84="",'Entry Queue'!N84=""),"Missing required field","OK")</x:f>
        <x:v>OK</x:v>
      </x:c>
      <x:c r="C84" s="88" t="str">
        <x:f>IF('Import Ready'!F84="","Not checked",IF(OR(IFERROR(FIND("@",'Import Ready'!F84),0)=0,IFERROR(FIND(".",'Import Ready'!F84,FIND("@",'Import Ready'!F84)+2),0)=0),"Check email","OK"))</x:f>
        <x:v>OK</x:v>
      </x:c>
      <x:c r="D84" s="88" t="str">
        <x:f>IF(A84="","Not checked",IF(COUNTIF($A$5:$A$124,A84)&gt;1,"Duplicate record ID","OK"))</x:f>
        <x:v>OK</x:v>
      </x:c>
      <x:c r="E84" s="88" t="str">
        <x:f>IF('Import Ready'!F84="","Not checked",IF(COUNTIF('Import Ready'!$F$5:$F$124,'Import Ready'!F84)&gt;1,"Duplicate email","OK"))</x:f>
        <x:v>OK</x:v>
      </x:c>
      <x:c r="F84" s="88" t="str">
        <x:f>IF('Import Ready'!G84="","Not checked",IF(OR(LEN('Import Ready'!G84)&lt;10,LEN('Import Ready'!G84)&gt;22),"Check phone length","OK"))</x:f>
        <x:v>OK</x:v>
      </x:c>
      <x:c r="G84" s="88" t="str">
        <x:f>IF('Import Ready'!G84="","Not checked",IF(COUNTIF('Import Ready'!$G$5:$G$124,'Import Ready'!G84)&gt;1,"Duplicate phone","OK"))</x:f>
        <x:v>OK</x:v>
      </x:c>
      <x:c r="H84" s="88" t="str">
        <x:f>IF(COUNTIF('Field Rules'!$F$5:$F$9,'Import Ready'!H84)=0,"Check country",IF(COUNTIF('Field Rules'!$G$5:$G$9,'Import Ready'!I84)=0,"Check territory",IF(COUNTIF('Field Rules'!$H$5:$H$9,'Import Ready'!J84)=0,"Check lead source",IF(COUNTIF('Field Rules'!$I$5:$I$9,'Import Ready'!K84)=0,"Check segment",IF(COUNTIF('Field Rules'!$J$5:$J$7,'Import Ready'!L84)=0,"Check account status","OK")))))</x:f>
        <x:v>OK</x:v>
      </x:c>
      <x:c r="I84" s="89" t="str">
        <x:f>IF(B84&lt;&gt;"OK",B84,IF(D84&lt;&gt;"OK",D84,IF(C84&lt;&gt;"OK",C84,IF(E84&lt;&gt;"OK",E84,IF(F84&lt;&gt;"OK",F84,IF(G84&lt;&gt;"OK",G84,IF(H84&lt;&gt;"OK",H84,"Ready")))))))</x:f>
        <x:v>Ready</x:v>
      </x:c>
    </x:row>
    <x:row r="85" ht="21" customHeight="1">
      <x:c r="A85" s="84" t="str">
        <x:f>'Import Ready'!A85</x:f>
        <x:v>C-2081</x:v>
      </x:c>
      <x:c r="B85" s="85" t="str">
        <x:f>IF(OR('Import Ready'!A85="",'Import Ready'!B85="",'Import Ready'!C85="",'Import Ready'!E85="",'Import Ready'!F85="",'Import Ready'!G85="",'Import Ready'!H85="",'Import Ready'!I85="",'Import Ready'!J85="",'Import Ready'!K85="",'Import Ready'!L85="",'Import Ready'!M85="",'Entry Queue'!N85=""),"Missing required field","OK")</x:f>
        <x:v>OK</x:v>
      </x:c>
      <x:c r="C85" s="85" t="str">
        <x:f>IF('Import Ready'!F85="","Not checked",IF(OR(IFERROR(FIND("@",'Import Ready'!F85),0)=0,IFERROR(FIND(".",'Import Ready'!F85,FIND("@",'Import Ready'!F85)+2),0)=0),"Check email","OK"))</x:f>
        <x:v>OK</x:v>
      </x:c>
      <x:c r="D85" s="85" t="str">
        <x:f>IF(A85="","Not checked",IF(COUNTIF($A$5:$A$124,A85)&gt;1,"Duplicate record ID","OK"))</x:f>
        <x:v>OK</x:v>
      </x:c>
      <x:c r="E85" s="85" t="str">
        <x:f>IF('Import Ready'!F85="","Not checked",IF(COUNTIF('Import Ready'!$F$5:$F$124,'Import Ready'!F85)&gt;1,"Duplicate email","OK"))</x:f>
        <x:v>OK</x:v>
      </x:c>
      <x:c r="F85" s="85" t="str">
        <x:f>IF('Import Ready'!G85="","Not checked",IF(OR(LEN('Import Ready'!G85)&lt;10,LEN('Import Ready'!G85)&gt;22),"Check phone length","OK"))</x:f>
        <x:v>OK</x:v>
      </x:c>
      <x:c r="G85" s="85" t="str">
        <x:f>IF('Import Ready'!G85="","Not checked",IF(COUNTIF('Import Ready'!$G$5:$G$124,'Import Ready'!G85)&gt;1,"Duplicate phone","OK"))</x:f>
        <x:v>OK</x:v>
      </x:c>
      <x:c r="H85" s="85" t="str">
        <x:f>IF(COUNTIF('Field Rules'!$F$5:$F$9,'Import Ready'!H85)=0,"Check country",IF(COUNTIF('Field Rules'!$G$5:$G$9,'Import Ready'!I85)=0,"Check territory",IF(COUNTIF('Field Rules'!$H$5:$H$9,'Import Ready'!J85)=0,"Check lead source",IF(COUNTIF('Field Rules'!$I$5:$I$9,'Import Ready'!K85)=0,"Check segment",IF(COUNTIF('Field Rules'!$J$5:$J$7,'Import Ready'!L85)=0,"Check account status","OK")))))</x:f>
        <x:v>OK</x:v>
      </x:c>
      <x:c r="I85" s="86" t="str">
        <x:f>IF(B85&lt;&gt;"OK",B85,IF(D85&lt;&gt;"OK",D85,IF(C85&lt;&gt;"OK",C85,IF(E85&lt;&gt;"OK",E85,IF(F85&lt;&gt;"OK",F85,IF(G85&lt;&gt;"OK",G85,IF(H85&lt;&gt;"OK",H85,"Ready")))))))</x:f>
        <x:v>Ready</x:v>
      </x:c>
    </x:row>
    <x:row r="86" ht="21" customHeight="1">
      <x:c r="A86" s="87" t="str">
        <x:f>'Import Ready'!A86</x:f>
        <x:v>C-2082</x:v>
      </x:c>
      <x:c r="B86" s="88" t="str">
        <x:f>IF(OR('Import Ready'!A86="",'Import Ready'!B86="",'Import Ready'!C86="",'Import Ready'!E86="",'Import Ready'!F86="",'Import Ready'!G86="",'Import Ready'!H86="",'Import Ready'!I86="",'Import Ready'!J86="",'Import Ready'!K86="",'Import Ready'!L86="",'Import Ready'!M86="",'Entry Queue'!N86=""),"Missing required field","OK")</x:f>
        <x:v>OK</x:v>
      </x:c>
      <x:c r="C86" s="88" t="str">
        <x:f>IF('Import Ready'!F86="","Not checked",IF(OR(IFERROR(FIND("@",'Import Ready'!F86),0)=0,IFERROR(FIND(".",'Import Ready'!F86,FIND("@",'Import Ready'!F86)+2),0)=0),"Check email","OK"))</x:f>
        <x:v>OK</x:v>
      </x:c>
      <x:c r="D86" s="88" t="str">
        <x:f>IF(A86="","Not checked",IF(COUNTIF($A$5:$A$124,A86)&gt;1,"Duplicate record ID","OK"))</x:f>
        <x:v>OK</x:v>
      </x:c>
      <x:c r="E86" s="88" t="str">
        <x:f>IF('Import Ready'!F86="","Not checked",IF(COUNTIF('Import Ready'!$F$5:$F$124,'Import Ready'!F86)&gt;1,"Duplicate email","OK"))</x:f>
        <x:v>OK</x:v>
      </x:c>
      <x:c r="F86" s="88" t="str">
        <x:f>IF('Import Ready'!G86="","Not checked",IF(OR(LEN('Import Ready'!G86)&lt;10,LEN('Import Ready'!G86)&gt;22),"Check phone length","OK"))</x:f>
        <x:v>OK</x:v>
      </x:c>
      <x:c r="G86" s="88" t="str">
        <x:f>IF('Import Ready'!G86="","Not checked",IF(COUNTIF('Import Ready'!$G$5:$G$124,'Import Ready'!G86)&gt;1,"Duplicate phone","OK"))</x:f>
        <x:v>OK</x:v>
      </x:c>
      <x:c r="H86" s="88" t="str">
        <x:f>IF(COUNTIF('Field Rules'!$F$5:$F$9,'Import Ready'!H86)=0,"Check country",IF(COUNTIF('Field Rules'!$G$5:$G$9,'Import Ready'!I86)=0,"Check territory",IF(COUNTIF('Field Rules'!$H$5:$H$9,'Import Ready'!J86)=0,"Check lead source",IF(COUNTIF('Field Rules'!$I$5:$I$9,'Import Ready'!K86)=0,"Check segment",IF(COUNTIF('Field Rules'!$J$5:$J$7,'Import Ready'!L86)=0,"Check account status","OK")))))</x:f>
        <x:v>OK</x:v>
      </x:c>
      <x:c r="I86" s="89" t="str">
        <x:f>IF(B86&lt;&gt;"OK",B86,IF(D86&lt;&gt;"OK",D86,IF(C86&lt;&gt;"OK",C86,IF(E86&lt;&gt;"OK",E86,IF(F86&lt;&gt;"OK",F86,IF(G86&lt;&gt;"OK",G86,IF(H86&lt;&gt;"OK",H86,"Ready")))))))</x:f>
        <x:v>Ready</x:v>
      </x:c>
    </x:row>
    <x:row r="87" ht="21" customHeight="1">
      <x:c r="A87" s="84" t="str">
        <x:f>'Import Ready'!A87</x:f>
        <x:v>C-2083</x:v>
      </x:c>
      <x:c r="B87" s="85" t="str">
        <x:f>IF(OR('Import Ready'!A87="",'Import Ready'!B87="",'Import Ready'!C87="",'Import Ready'!E87="",'Import Ready'!F87="",'Import Ready'!G87="",'Import Ready'!H87="",'Import Ready'!I87="",'Import Ready'!J87="",'Import Ready'!K87="",'Import Ready'!L87="",'Import Ready'!M87="",'Entry Queue'!N87=""),"Missing required field","OK")</x:f>
        <x:v>OK</x:v>
      </x:c>
      <x:c r="C87" s="85" t="str">
        <x:f>IF('Import Ready'!F87="","Not checked",IF(OR(IFERROR(FIND("@",'Import Ready'!F87),0)=0,IFERROR(FIND(".",'Import Ready'!F87,FIND("@",'Import Ready'!F87)+2),0)=0),"Check email","OK"))</x:f>
        <x:v>OK</x:v>
      </x:c>
      <x:c r="D87" s="85" t="str">
        <x:f>IF(A87="","Not checked",IF(COUNTIF($A$5:$A$124,A87)&gt;1,"Duplicate record ID","OK"))</x:f>
        <x:v>OK</x:v>
      </x:c>
      <x:c r="E87" s="85" t="str">
        <x:f>IF('Import Ready'!F87="","Not checked",IF(COUNTIF('Import Ready'!$F$5:$F$124,'Import Ready'!F87)&gt;1,"Duplicate email","OK"))</x:f>
        <x:v>OK</x:v>
      </x:c>
      <x:c r="F87" s="85" t="str">
        <x:f>IF('Import Ready'!G87="","Not checked",IF(OR(LEN('Import Ready'!G87)&lt;10,LEN('Import Ready'!G87)&gt;22),"Check phone length","OK"))</x:f>
        <x:v>OK</x:v>
      </x:c>
      <x:c r="G87" s="85" t="str">
        <x:f>IF('Import Ready'!G87="","Not checked",IF(COUNTIF('Import Ready'!$G$5:$G$124,'Import Ready'!G87)&gt;1,"Duplicate phone","OK"))</x:f>
        <x:v>OK</x:v>
      </x:c>
      <x:c r="H87" s="85" t="str">
        <x:f>IF(COUNTIF('Field Rules'!$F$5:$F$9,'Import Ready'!H87)=0,"Check country",IF(COUNTIF('Field Rules'!$G$5:$G$9,'Import Ready'!I87)=0,"Check territory",IF(COUNTIF('Field Rules'!$H$5:$H$9,'Import Ready'!J87)=0,"Check lead source",IF(COUNTIF('Field Rules'!$I$5:$I$9,'Import Ready'!K87)=0,"Check segment",IF(COUNTIF('Field Rules'!$J$5:$J$7,'Import Ready'!L87)=0,"Check account status","OK")))))</x:f>
        <x:v>OK</x:v>
      </x:c>
      <x:c r="I87" s="86" t="str">
        <x:f>IF(B87&lt;&gt;"OK",B87,IF(D87&lt;&gt;"OK",D87,IF(C87&lt;&gt;"OK",C87,IF(E87&lt;&gt;"OK",E87,IF(F87&lt;&gt;"OK",F87,IF(G87&lt;&gt;"OK",G87,IF(H87&lt;&gt;"OK",H87,"Ready")))))))</x:f>
        <x:v>Ready</x:v>
      </x:c>
    </x:row>
    <x:row r="88" ht="21" customHeight="1">
      <x:c r="A88" s="87" t="str">
        <x:f>'Import Ready'!A88</x:f>
        <x:v>C-2084</x:v>
      </x:c>
      <x:c r="B88" s="88" t="str">
        <x:f>IF(OR('Import Ready'!A88="",'Import Ready'!B88="",'Import Ready'!C88="",'Import Ready'!E88="",'Import Ready'!F88="",'Import Ready'!G88="",'Import Ready'!H88="",'Import Ready'!I88="",'Import Ready'!J88="",'Import Ready'!K88="",'Import Ready'!L88="",'Import Ready'!M88="",'Entry Queue'!N88=""),"Missing required field","OK")</x:f>
        <x:v>OK</x:v>
      </x:c>
      <x:c r="C88" s="88" t="str">
        <x:f>IF('Import Ready'!F88="","Not checked",IF(OR(IFERROR(FIND("@",'Import Ready'!F88),0)=0,IFERROR(FIND(".",'Import Ready'!F88,FIND("@",'Import Ready'!F88)+2),0)=0),"Check email","OK"))</x:f>
        <x:v>OK</x:v>
      </x:c>
      <x:c r="D88" s="88" t="str">
        <x:f>IF(A88="","Not checked",IF(COUNTIF($A$5:$A$124,A88)&gt;1,"Duplicate record ID","OK"))</x:f>
        <x:v>OK</x:v>
      </x:c>
      <x:c r="E88" s="88" t="str">
        <x:f>IF('Import Ready'!F88="","Not checked",IF(COUNTIF('Import Ready'!$F$5:$F$124,'Import Ready'!F88)&gt;1,"Duplicate email","OK"))</x:f>
        <x:v>OK</x:v>
      </x:c>
      <x:c r="F88" s="88" t="str">
        <x:f>IF('Import Ready'!G88="","Not checked",IF(OR(LEN('Import Ready'!G88)&lt;10,LEN('Import Ready'!G88)&gt;22),"Check phone length","OK"))</x:f>
        <x:v>OK</x:v>
      </x:c>
      <x:c r="G88" s="88" t="str">
        <x:f>IF('Import Ready'!G88="","Not checked",IF(COUNTIF('Import Ready'!$G$5:$G$124,'Import Ready'!G88)&gt;1,"Duplicate phone","OK"))</x:f>
        <x:v>OK</x:v>
      </x:c>
      <x:c r="H88" s="88" t="str">
        <x:f>IF(COUNTIF('Field Rules'!$F$5:$F$9,'Import Ready'!H88)=0,"Check country",IF(COUNTIF('Field Rules'!$G$5:$G$9,'Import Ready'!I88)=0,"Check territory",IF(COUNTIF('Field Rules'!$H$5:$H$9,'Import Ready'!J88)=0,"Check lead source",IF(COUNTIF('Field Rules'!$I$5:$I$9,'Import Ready'!K88)=0,"Check segment",IF(COUNTIF('Field Rules'!$J$5:$J$7,'Import Ready'!L88)=0,"Check account status","OK")))))</x:f>
        <x:v>OK</x:v>
      </x:c>
      <x:c r="I88" s="89" t="str">
        <x:f>IF(B88&lt;&gt;"OK",B88,IF(D88&lt;&gt;"OK",D88,IF(C88&lt;&gt;"OK",C88,IF(E88&lt;&gt;"OK",E88,IF(F88&lt;&gt;"OK",F88,IF(G88&lt;&gt;"OK",G88,IF(H88&lt;&gt;"OK",H88,"Ready")))))))</x:f>
        <x:v>Ready</x:v>
      </x:c>
    </x:row>
    <x:row r="89" ht="21" customHeight="1">
      <x:c r="A89" s="84" t="str">
        <x:f>'Import Ready'!A89</x:f>
        <x:v>C-2085</x:v>
      </x:c>
      <x:c r="B89" s="85" t="str">
        <x:f>IF(OR('Import Ready'!A89="",'Import Ready'!B89="",'Import Ready'!C89="",'Import Ready'!E89="",'Import Ready'!F89="",'Import Ready'!G89="",'Import Ready'!H89="",'Import Ready'!I89="",'Import Ready'!J89="",'Import Ready'!K89="",'Import Ready'!L89="",'Import Ready'!M89="",'Entry Queue'!N89=""),"Missing required field","OK")</x:f>
        <x:v>OK</x:v>
      </x:c>
      <x:c r="C89" s="85" t="str">
        <x:f>IF('Import Ready'!F89="","Not checked",IF(OR(IFERROR(FIND("@",'Import Ready'!F89),0)=0,IFERROR(FIND(".",'Import Ready'!F89,FIND("@",'Import Ready'!F89)+2),0)=0),"Check email","OK"))</x:f>
        <x:v>OK</x:v>
      </x:c>
      <x:c r="D89" s="85" t="str">
        <x:f>IF(A89="","Not checked",IF(COUNTIF($A$5:$A$124,A89)&gt;1,"Duplicate record ID","OK"))</x:f>
        <x:v>OK</x:v>
      </x:c>
      <x:c r="E89" s="85" t="str">
        <x:f>IF('Import Ready'!F89="","Not checked",IF(COUNTIF('Import Ready'!$F$5:$F$124,'Import Ready'!F89)&gt;1,"Duplicate email","OK"))</x:f>
        <x:v>OK</x:v>
      </x:c>
      <x:c r="F89" s="85" t="str">
        <x:f>IF('Import Ready'!G89="","Not checked",IF(OR(LEN('Import Ready'!G89)&lt;10,LEN('Import Ready'!G89)&gt;22),"Check phone length","OK"))</x:f>
        <x:v>OK</x:v>
      </x:c>
      <x:c r="G89" s="85" t="str">
        <x:f>IF('Import Ready'!G89="","Not checked",IF(COUNTIF('Import Ready'!$G$5:$G$124,'Import Ready'!G89)&gt;1,"Duplicate phone","OK"))</x:f>
        <x:v>OK</x:v>
      </x:c>
      <x:c r="H89" s="85" t="str">
        <x:f>IF(COUNTIF('Field Rules'!$F$5:$F$9,'Import Ready'!H89)=0,"Check country",IF(COUNTIF('Field Rules'!$G$5:$G$9,'Import Ready'!I89)=0,"Check territory",IF(COUNTIF('Field Rules'!$H$5:$H$9,'Import Ready'!J89)=0,"Check lead source",IF(COUNTIF('Field Rules'!$I$5:$I$9,'Import Ready'!K89)=0,"Check segment",IF(COUNTIF('Field Rules'!$J$5:$J$7,'Import Ready'!L89)=0,"Check account status","OK")))))</x:f>
        <x:v>OK</x:v>
      </x:c>
      <x:c r="I89" s="86" t="str">
        <x:f>IF(B89&lt;&gt;"OK",B89,IF(D89&lt;&gt;"OK",D89,IF(C89&lt;&gt;"OK",C89,IF(E89&lt;&gt;"OK",E89,IF(F89&lt;&gt;"OK",F89,IF(G89&lt;&gt;"OK",G89,IF(H89&lt;&gt;"OK",H89,"Ready")))))))</x:f>
        <x:v>Ready</x:v>
      </x:c>
    </x:row>
    <x:row r="90" ht="21" customHeight="1">
      <x:c r="A90" s="87" t="str">
        <x:f>'Import Ready'!A90</x:f>
        <x:v>C-2086</x:v>
      </x:c>
      <x:c r="B90" s="88" t="str">
        <x:f>IF(OR('Import Ready'!A90="",'Import Ready'!B90="",'Import Ready'!C90="",'Import Ready'!E90="",'Import Ready'!F90="",'Import Ready'!G90="",'Import Ready'!H90="",'Import Ready'!I90="",'Import Ready'!J90="",'Import Ready'!K90="",'Import Ready'!L90="",'Import Ready'!M90="",'Entry Queue'!N90=""),"Missing required field","OK")</x:f>
        <x:v>OK</x:v>
      </x:c>
      <x:c r="C90" s="88" t="str">
        <x:f>IF('Import Ready'!F90="","Not checked",IF(OR(IFERROR(FIND("@",'Import Ready'!F90),0)=0,IFERROR(FIND(".",'Import Ready'!F90,FIND("@",'Import Ready'!F90)+2),0)=0),"Check email","OK"))</x:f>
        <x:v>OK</x:v>
      </x:c>
      <x:c r="D90" s="88" t="str">
        <x:f>IF(A90="","Not checked",IF(COUNTIF($A$5:$A$124,A90)&gt;1,"Duplicate record ID","OK"))</x:f>
        <x:v>OK</x:v>
      </x:c>
      <x:c r="E90" s="88" t="str">
        <x:f>IF('Import Ready'!F90="","Not checked",IF(COUNTIF('Import Ready'!$F$5:$F$124,'Import Ready'!F90)&gt;1,"Duplicate email","OK"))</x:f>
        <x:v>OK</x:v>
      </x:c>
      <x:c r="F90" s="88" t="str">
        <x:f>IF('Import Ready'!G90="","Not checked",IF(OR(LEN('Import Ready'!G90)&lt;10,LEN('Import Ready'!G90)&gt;22),"Check phone length","OK"))</x:f>
        <x:v>OK</x:v>
      </x:c>
      <x:c r="G90" s="88" t="str">
        <x:f>IF('Import Ready'!G90="","Not checked",IF(COUNTIF('Import Ready'!$G$5:$G$124,'Import Ready'!G90)&gt;1,"Duplicate phone","OK"))</x:f>
        <x:v>OK</x:v>
      </x:c>
      <x:c r="H90" s="88" t="str">
        <x:f>IF(COUNTIF('Field Rules'!$F$5:$F$9,'Import Ready'!H90)=0,"Check country",IF(COUNTIF('Field Rules'!$G$5:$G$9,'Import Ready'!I90)=0,"Check territory",IF(COUNTIF('Field Rules'!$H$5:$H$9,'Import Ready'!J90)=0,"Check lead source",IF(COUNTIF('Field Rules'!$I$5:$I$9,'Import Ready'!K90)=0,"Check segment",IF(COUNTIF('Field Rules'!$J$5:$J$7,'Import Ready'!L90)=0,"Check account status","OK")))))</x:f>
        <x:v>OK</x:v>
      </x:c>
      <x:c r="I90" s="89" t="str">
        <x:f>IF(B90&lt;&gt;"OK",B90,IF(D90&lt;&gt;"OK",D90,IF(C90&lt;&gt;"OK",C90,IF(E90&lt;&gt;"OK",E90,IF(F90&lt;&gt;"OK",F90,IF(G90&lt;&gt;"OK",G90,IF(H90&lt;&gt;"OK",H90,"Ready")))))))</x:f>
        <x:v>Ready</x:v>
      </x:c>
    </x:row>
    <x:row r="91" ht="21" customHeight="1">
      <x:c r="A91" s="84" t="str">
        <x:f>'Import Ready'!A91</x:f>
        <x:v>C-2087</x:v>
      </x:c>
      <x:c r="B91" s="85" t="str">
        <x:f>IF(OR('Import Ready'!A91="",'Import Ready'!B91="",'Import Ready'!C91="",'Import Ready'!E91="",'Import Ready'!F91="",'Import Ready'!G91="",'Import Ready'!H91="",'Import Ready'!I91="",'Import Ready'!J91="",'Import Ready'!K91="",'Import Ready'!L91="",'Import Ready'!M91="",'Entry Queue'!N91=""),"Missing required field","OK")</x:f>
        <x:v>OK</x:v>
      </x:c>
      <x:c r="C91" s="85" t="str">
        <x:f>IF('Import Ready'!F91="","Not checked",IF(OR(IFERROR(FIND("@",'Import Ready'!F91),0)=0,IFERROR(FIND(".",'Import Ready'!F91,FIND("@",'Import Ready'!F91)+2),0)=0),"Check email","OK"))</x:f>
        <x:v>OK</x:v>
      </x:c>
      <x:c r="D91" s="85" t="str">
        <x:f>IF(A91="","Not checked",IF(COUNTIF($A$5:$A$124,A91)&gt;1,"Duplicate record ID","OK"))</x:f>
        <x:v>OK</x:v>
      </x:c>
      <x:c r="E91" s="85" t="str">
        <x:f>IF('Import Ready'!F91="","Not checked",IF(COUNTIF('Import Ready'!$F$5:$F$124,'Import Ready'!F91)&gt;1,"Duplicate email","OK"))</x:f>
        <x:v>OK</x:v>
      </x:c>
      <x:c r="F91" s="85" t="str">
        <x:f>IF('Import Ready'!G91="","Not checked",IF(OR(LEN('Import Ready'!G91)&lt;10,LEN('Import Ready'!G91)&gt;22),"Check phone length","OK"))</x:f>
        <x:v>OK</x:v>
      </x:c>
      <x:c r="G91" s="85" t="str">
        <x:f>IF('Import Ready'!G91="","Not checked",IF(COUNTIF('Import Ready'!$G$5:$G$124,'Import Ready'!G91)&gt;1,"Duplicate phone","OK"))</x:f>
        <x:v>OK</x:v>
      </x:c>
      <x:c r="H91" s="85" t="str">
        <x:f>IF(COUNTIF('Field Rules'!$F$5:$F$9,'Import Ready'!H91)=0,"Check country",IF(COUNTIF('Field Rules'!$G$5:$G$9,'Import Ready'!I91)=0,"Check territory",IF(COUNTIF('Field Rules'!$H$5:$H$9,'Import Ready'!J91)=0,"Check lead source",IF(COUNTIF('Field Rules'!$I$5:$I$9,'Import Ready'!K91)=0,"Check segment",IF(COUNTIF('Field Rules'!$J$5:$J$7,'Import Ready'!L91)=0,"Check account status","OK")))))</x:f>
        <x:v>OK</x:v>
      </x:c>
      <x:c r="I91" s="86" t="str">
        <x:f>IF(B91&lt;&gt;"OK",B91,IF(D91&lt;&gt;"OK",D91,IF(C91&lt;&gt;"OK",C91,IF(E91&lt;&gt;"OK",E91,IF(F91&lt;&gt;"OK",F91,IF(G91&lt;&gt;"OK",G91,IF(H91&lt;&gt;"OK",H91,"Ready")))))))</x:f>
        <x:v>Ready</x:v>
      </x:c>
    </x:row>
    <x:row r="92" ht="21" customHeight="1">
      <x:c r="A92" s="87" t="str">
        <x:f>'Import Ready'!A92</x:f>
        <x:v>C-2088</x:v>
      </x:c>
      <x:c r="B92" s="88" t="str">
        <x:f>IF(OR('Import Ready'!A92="",'Import Ready'!B92="",'Import Ready'!C92="",'Import Ready'!E92="",'Import Ready'!F92="",'Import Ready'!G92="",'Import Ready'!H92="",'Import Ready'!I92="",'Import Ready'!J92="",'Import Ready'!K92="",'Import Ready'!L92="",'Import Ready'!M92="",'Entry Queue'!N92=""),"Missing required field","OK")</x:f>
        <x:v>OK</x:v>
      </x:c>
      <x:c r="C92" s="88" t="str">
        <x:f>IF('Import Ready'!F92="","Not checked",IF(OR(IFERROR(FIND("@",'Import Ready'!F92),0)=0,IFERROR(FIND(".",'Import Ready'!F92,FIND("@",'Import Ready'!F92)+2),0)=0),"Check email","OK"))</x:f>
        <x:v>OK</x:v>
      </x:c>
      <x:c r="D92" s="88" t="str">
        <x:f>IF(A92="","Not checked",IF(COUNTIF($A$5:$A$124,A92)&gt;1,"Duplicate record ID","OK"))</x:f>
        <x:v>OK</x:v>
      </x:c>
      <x:c r="E92" s="88" t="str">
        <x:f>IF('Import Ready'!F92="","Not checked",IF(COUNTIF('Import Ready'!$F$5:$F$124,'Import Ready'!F92)&gt;1,"Duplicate email","OK"))</x:f>
        <x:v>OK</x:v>
      </x:c>
      <x:c r="F92" s="88" t="str">
        <x:f>IF('Import Ready'!G92="","Not checked",IF(OR(LEN('Import Ready'!G92)&lt;10,LEN('Import Ready'!G92)&gt;22),"Check phone length","OK"))</x:f>
        <x:v>OK</x:v>
      </x:c>
      <x:c r="G92" s="88" t="str">
        <x:f>IF('Import Ready'!G92="","Not checked",IF(COUNTIF('Import Ready'!$G$5:$G$124,'Import Ready'!G92)&gt;1,"Duplicate phone","OK"))</x:f>
        <x:v>OK</x:v>
      </x:c>
      <x:c r="H92" s="88" t="str">
        <x:f>IF(COUNTIF('Field Rules'!$F$5:$F$9,'Import Ready'!H92)=0,"Check country",IF(COUNTIF('Field Rules'!$G$5:$G$9,'Import Ready'!I92)=0,"Check territory",IF(COUNTIF('Field Rules'!$H$5:$H$9,'Import Ready'!J92)=0,"Check lead source",IF(COUNTIF('Field Rules'!$I$5:$I$9,'Import Ready'!K92)=0,"Check segment",IF(COUNTIF('Field Rules'!$J$5:$J$7,'Import Ready'!L92)=0,"Check account status","OK")))))</x:f>
        <x:v>OK</x:v>
      </x:c>
      <x:c r="I92" s="89" t="str">
        <x:f>IF(B92&lt;&gt;"OK",B92,IF(D92&lt;&gt;"OK",D92,IF(C92&lt;&gt;"OK",C92,IF(E92&lt;&gt;"OK",E92,IF(F92&lt;&gt;"OK",F92,IF(G92&lt;&gt;"OK",G92,IF(H92&lt;&gt;"OK",H92,"Ready")))))))</x:f>
        <x:v>Ready</x:v>
      </x:c>
    </x:row>
    <x:row r="93" ht="21" customHeight="1">
      <x:c r="A93" s="84" t="str">
        <x:f>'Import Ready'!A93</x:f>
        <x:v>C-2089</x:v>
      </x:c>
      <x:c r="B93" s="85" t="str">
        <x:f>IF(OR('Import Ready'!A93="",'Import Ready'!B93="",'Import Ready'!C93="",'Import Ready'!E93="",'Import Ready'!F93="",'Import Ready'!G93="",'Import Ready'!H93="",'Import Ready'!I93="",'Import Ready'!J93="",'Import Ready'!K93="",'Import Ready'!L93="",'Import Ready'!M93="",'Entry Queue'!N93=""),"Missing required field","OK")</x:f>
        <x:v>OK</x:v>
      </x:c>
      <x:c r="C93" s="85" t="str">
        <x:f>IF('Import Ready'!F93="","Not checked",IF(OR(IFERROR(FIND("@",'Import Ready'!F93),0)=0,IFERROR(FIND(".",'Import Ready'!F93,FIND("@",'Import Ready'!F93)+2),0)=0),"Check email","OK"))</x:f>
        <x:v>OK</x:v>
      </x:c>
      <x:c r="D93" s="85" t="str">
        <x:f>IF(A93="","Not checked",IF(COUNTIF($A$5:$A$124,A93)&gt;1,"Duplicate record ID","OK"))</x:f>
        <x:v>OK</x:v>
      </x:c>
      <x:c r="E93" s="85" t="str">
        <x:f>IF('Import Ready'!F93="","Not checked",IF(COUNTIF('Import Ready'!$F$5:$F$124,'Import Ready'!F93)&gt;1,"Duplicate email","OK"))</x:f>
        <x:v>OK</x:v>
      </x:c>
      <x:c r="F93" s="85" t="str">
        <x:f>IF('Import Ready'!G93="","Not checked",IF(OR(LEN('Import Ready'!G93)&lt;10,LEN('Import Ready'!G93)&gt;22),"Check phone length","OK"))</x:f>
        <x:v>OK</x:v>
      </x:c>
      <x:c r="G93" s="85" t="str">
        <x:f>IF('Import Ready'!G93="","Not checked",IF(COUNTIF('Import Ready'!$G$5:$G$124,'Import Ready'!G93)&gt;1,"Duplicate phone","OK"))</x:f>
        <x:v>OK</x:v>
      </x:c>
      <x:c r="H93" s="85" t="str">
        <x:f>IF(COUNTIF('Field Rules'!$F$5:$F$9,'Import Ready'!H93)=0,"Check country",IF(COUNTIF('Field Rules'!$G$5:$G$9,'Import Ready'!I93)=0,"Check territory",IF(COUNTIF('Field Rules'!$H$5:$H$9,'Import Ready'!J93)=0,"Check lead source",IF(COUNTIF('Field Rules'!$I$5:$I$9,'Import Ready'!K93)=0,"Check segment",IF(COUNTIF('Field Rules'!$J$5:$J$7,'Import Ready'!L93)=0,"Check account status","OK")))))</x:f>
        <x:v>OK</x:v>
      </x:c>
      <x:c r="I93" s="86" t="str">
        <x:f>IF(B93&lt;&gt;"OK",B93,IF(D93&lt;&gt;"OK",D93,IF(C93&lt;&gt;"OK",C93,IF(E93&lt;&gt;"OK",E93,IF(F93&lt;&gt;"OK",F93,IF(G93&lt;&gt;"OK",G93,IF(H93&lt;&gt;"OK",H93,"Ready")))))))</x:f>
        <x:v>Ready</x:v>
      </x:c>
    </x:row>
    <x:row r="94" ht="21" customHeight="1">
      <x:c r="A94" s="87" t="str">
        <x:f>'Import Ready'!A94</x:f>
        <x:v>C-2090</x:v>
      </x:c>
      <x:c r="B94" s="88" t="str">
        <x:f>IF(OR('Import Ready'!A94="",'Import Ready'!B94="",'Import Ready'!C94="",'Import Ready'!E94="",'Import Ready'!F94="",'Import Ready'!G94="",'Import Ready'!H94="",'Import Ready'!I94="",'Import Ready'!J94="",'Import Ready'!K94="",'Import Ready'!L94="",'Import Ready'!M94="",'Entry Queue'!N94=""),"Missing required field","OK")</x:f>
        <x:v>OK</x:v>
      </x:c>
      <x:c r="C94" s="88" t="str">
        <x:f>IF('Import Ready'!F94="","Not checked",IF(OR(IFERROR(FIND("@",'Import Ready'!F94),0)=0,IFERROR(FIND(".",'Import Ready'!F94,FIND("@",'Import Ready'!F94)+2),0)=0),"Check email","OK"))</x:f>
        <x:v>OK</x:v>
      </x:c>
      <x:c r="D94" s="88" t="str">
        <x:f>IF(A94="","Not checked",IF(COUNTIF($A$5:$A$124,A94)&gt;1,"Duplicate record ID","OK"))</x:f>
        <x:v>OK</x:v>
      </x:c>
      <x:c r="E94" s="88" t="str">
        <x:f>IF('Import Ready'!F94="","Not checked",IF(COUNTIF('Import Ready'!$F$5:$F$124,'Import Ready'!F94)&gt;1,"Duplicate email","OK"))</x:f>
        <x:v>Duplicate email</x:v>
      </x:c>
      <x:c r="F94" s="88" t="str">
        <x:f>IF('Import Ready'!G94="","Not checked",IF(OR(LEN('Import Ready'!G94)&lt;10,LEN('Import Ready'!G94)&gt;22),"Check phone length","OK"))</x:f>
        <x:v>OK</x:v>
      </x:c>
      <x:c r="G94" s="88" t="str">
        <x:f>IF('Import Ready'!G94="","Not checked",IF(COUNTIF('Import Ready'!$G$5:$G$124,'Import Ready'!G94)&gt;1,"Duplicate phone","OK"))</x:f>
        <x:v>OK</x:v>
      </x:c>
      <x:c r="H94" s="88" t="str">
        <x:f>IF(COUNTIF('Field Rules'!$F$5:$F$9,'Import Ready'!H94)=0,"Check country",IF(COUNTIF('Field Rules'!$G$5:$G$9,'Import Ready'!I94)=0,"Check territory",IF(COUNTIF('Field Rules'!$H$5:$H$9,'Import Ready'!J94)=0,"Check lead source",IF(COUNTIF('Field Rules'!$I$5:$I$9,'Import Ready'!K94)=0,"Check segment",IF(COUNTIF('Field Rules'!$J$5:$J$7,'Import Ready'!L94)=0,"Check account status","OK")))))</x:f>
        <x:v>OK</x:v>
      </x:c>
      <x:c r="I94" s="89" t="str">
        <x:f>IF(B94&lt;&gt;"OK",B94,IF(D94&lt;&gt;"OK",D94,IF(C94&lt;&gt;"OK",C94,IF(E94&lt;&gt;"OK",E94,IF(F94&lt;&gt;"OK",F94,IF(G94&lt;&gt;"OK",G94,IF(H94&lt;&gt;"OK",H94,"Ready")))))))</x:f>
        <x:v>Duplicate email</x:v>
      </x:c>
    </x:row>
    <x:row r="95" ht="21" customHeight="1">
      <x:c r="A95" s="84" t="str">
        <x:f>'Import Ready'!A95</x:f>
        <x:v>C-2091</x:v>
      </x:c>
      <x:c r="B95" s="85" t="str">
        <x:f>IF(OR('Import Ready'!A95="",'Import Ready'!B95="",'Import Ready'!C95="",'Import Ready'!E95="",'Import Ready'!F95="",'Import Ready'!G95="",'Import Ready'!H95="",'Import Ready'!I95="",'Import Ready'!J95="",'Import Ready'!K95="",'Import Ready'!L95="",'Import Ready'!M95="",'Entry Queue'!N95=""),"Missing required field","OK")</x:f>
        <x:v>OK</x:v>
      </x:c>
      <x:c r="C95" s="85" t="str">
        <x:f>IF('Import Ready'!F95="","Not checked",IF(OR(IFERROR(FIND("@",'Import Ready'!F95),0)=0,IFERROR(FIND(".",'Import Ready'!F95,FIND("@",'Import Ready'!F95)+2),0)=0),"Check email","OK"))</x:f>
        <x:v>OK</x:v>
      </x:c>
      <x:c r="D95" s="85" t="str">
        <x:f>IF(A95="","Not checked",IF(COUNTIF($A$5:$A$124,A95)&gt;1,"Duplicate record ID","OK"))</x:f>
        <x:v>OK</x:v>
      </x:c>
      <x:c r="E95" s="85" t="str">
        <x:f>IF('Import Ready'!F95="","Not checked",IF(COUNTIF('Import Ready'!$F$5:$F$124,'Import Ready'!F95)&gt;1,"Duplicate email","OK"))</x:f>
        <x:v>OK</x:v>
      </x:c>
      <x:c r="F95" s="85" t="str">
        <x:f>IF('Import Ready'!G95="","Not checked",IF(OR(LEN('Import Ready'!G95)&lt;10,LEN('Import Ready'!G95)&gt;22),"Check phone length","OK"))</x:f>
        <x:v>OK</x:v>
      </x:c>
      <x:c r="G95" s="85" t="str">
        <x:f>IF('Import Ready'!G95="","Not checked",IF(COUNTIF('Import Ready'!$G$5:$G$124,'Import Ready'!G95)&gt;1,"Duplicate phone","OK"))</x:f>
        <x:v>OK</x:v>
      </x:c>
      <x:c r="H95" s="85" t="str">
        <x:f>IF(COUNTIF('Field Rules'!$F$5:$F$9,'Import Ready'!H95)=0,"Check country",IF(COUNTIF('Field Rules'!$G$5:$G$9,'Import Ready'!I95)=0,"Check territory",IF(COUNTIF('Field Rules'!$H$5:$H$9,'Import Ready'!J95)=0,"Check lead source",IF(COUNTIF('Field Rules'!$I$5:$I$9,'Import Ready'!K95)=0,"Check segment",IF(COUNTIF('Field Rules'!$J$5:$J$7,'Import Ready'!L95)=0,"Check account status","OK")))))</x:f>
        <x:v>OK</x:v>
      </x:c>
      <x:c r="I95" s="86" t="str">
        <x:f>IF(B95&lt;&gt;"OK",B95,IF(D95&lt;&gt;"OK",D95,IF(C95&lt;&gt;"OK",C95,IF(E95&lt;&gt;"OK",E95,IF(F95&lt;&gt;"OK",F95,IF(G95&lt;&gt;"OK",G95,IF(H95&lt;&gt;"OK",H95,"Ready")))))))</x:f>
        <x:v>Ready</x:v>
      </x:c>
    </x:row>
    <x:row r="96" ht="21" customHeight="1">
      <x:c r="A96" s="87" t="str">
        <x:f>'Import Ready'!A96</x:f>
        <x:v>C-2092</x:v>
      </x:c>
      <x:c r="B96" s="88" t="str">
        <x:f>IF(OR('Import Ready'!A96="",'Import Ready'!B96="",'Import Ready'!C96="",'Import Ready'!E96="",'Import Ready'!F96="",'Import Ready'!G96="",'Import Ready'!H96="",'Import Ready'!I96="",'Import Ready'!J96="",'Import Ready'!K96="",'Import Ready'!L96="",'Import Ready'!M96="",'Entry Queue'!N96=""),"Missing required field","OK")</x:f>
        <x:v>OK</x:v>
      </x:c>
      <x:c r="C96" s="88" t="str">
        <x:f>IF('Import Ready'!F96="","Not checked",IF(OR(IFERROR(FIND("@",'Import Ready'!F96),0)=0,IFERROR(FIND(".",'Import Ready'!F96,FIND("@",'Import Ready'!F96)+2),0)=0),"Check email","OK"))</x:f>
        <x:v>OK</x:v>
      </x:c>
      <x:c r="D96" s="88" t="str">
        <x:f>IF(A96="","Not checked",IF(COUNTIF($A$5:$A$124,A96)&gt;1,"Duplicate record ID","OK"))</x:f>
        <x:v>OK</x:v>
      </x:c>
      <x:c r="E96" s="88" t="str">
        <x:f>IF('Import Ready'!F96="","Not checked",IF(COUNTIF('Import Ready'!$F$5:$F$124,'Import Ready'!F96)&gt;1,"Duplicate email","OK"))</x:f>
        <x:v>OK</x:v>
      </x:c>
      <x:c r="F96" s="88" t="str">
        <x:f>IF('Import Ready'!G96="","Not checked",IF(OR(LEN('Import Ready'!G96)&lt;10,LEN('Import Ready'!G96)&gt;22),"Check phone length","OK"))</x:f>
        <x:v>OK</x:v>
      </x:c>
      <x:c r="G96" s="88" t="str">
        <x:f>IF('Import Ready'!G96="","Not checked",IF(COUNTIF('Import Ready'!$G$5:$G$124,'Import Ready'!G96)&gt;1,"Duplicate phone","OK"))</x:f>
        <x:v>OK</x:v>
      </x:c>
      <x:c r="H96" s="88" t="str">
        <x:f>IF(COUNTIF('Field Rules'!$F$5:$F$9,'Import Ready'!H96)=0,"Check country",IF(COUNTIF('Field Rules'!$G$5:$G$9,'Import Ready'!I96)=0,"Check territory",IF(COUNTIF('Field Rules'!$H$5:$H$9,'Import Ready'!J96)=0,"Check lead source",IF(COUNTIF('Field Rules'!$I$5:$I$9,'Import Ready'!K96)=0,"Check segment",IF(COUNTIF('Field Rules'!$J$5:$J$7,'Import Ready'!L96)=0,"Check account status","OK")))))</x:f>
        <x:v>OK</x:v>
      </x:c>
      <x:c r="I96" s="89" t="str">
        <x:f>IF(B96&lt;&gt;"OK",B96,IF(D96&lt;&gt;"OK",D96,IF(C96&lt;&gt;"OK",C96,IF(E96&lt;&gt;"OK",E96,IF(F96&lt;&gt;"OK",F96,IF(G96&lt;&gt;"OK",G96,IF(H96&lt;&gt;"OK",H96,"Ready")))))))</x:f>
        <x:v>Ready</x:v>
      </x:c>
    </x:row>
    <x:row r="97" ht="21" customHeight="1">
      <x:c r="A97" s="84" t="str">
        <x:f>'Import Ready'!A97</x:f>
        <x:v>C-2093</x:v>
      </x:c>
      <x:c r="B97" s="85" t="str">
        <x:f>IF(OR('Import Ready'!A97="",'Import Ready'!B97="",'Import Ready'!C97="",'Import Ready'!E97="",'Import Ready'!F97="",'Import Ready'!G97="",'Import Ready'!H97="",'Import Ready'!I97="",'Import Ready'!J97="",'Import Ready'!K97="",'Import Ready'!L97="",'Import Ready'!M97="",'Entry Queue'!N97=""),"Missing required field","OK")</x:f>
        <x:v>OK</x:v>
      </x:c>
      <x:c r="C97" s="85" t="str">
        <x:f>IF('Import Ready'!F97="","Not checked",IF(OR(IFERROR(FIND("@",'Import Ready'!F97),0)=0,IFERROR(FIND(".",'Import Ready'!F97,FIND("@",'Import Ready'!F97)+2),0)=0),"Check email","OK"))</x:f>
        <x:v>OK</x:v>
      </x:c>
      <x:c r="D97" s="85" t="str">
        <x:f>IF(A97="","Not checked",IF(COUNTIF($A$5:$A$124,A97)&gt;1,"Duplicate record ID","OK"))</x:f>
        <x:v>OK</x:v>
      </x:c>
      <x:c r="E97" s="85" t="str">
        <x:f>IF('Import Ready'!F97="","Not checked",IF(COUNTIF('Import Ready'!$F$5:$F$124,'Import Ready'!F97)&gt;1,"Duplicate email","OK"))</x:f>
        <x:v>OK</x:v>
      </x:c>
      <x:c r="F97" s="85" t="str">
        <x:f>IF('Import Ready'!G97="","Not checked",IF(OR(LEN('Import Ready'!G97)&lt;10,LEN('Import Ready'!G97)&gt;22),"Check phone length","OK"))</x:f>
        <x:v>OK</x:v>
      </x:c>
      <x:c r="G97" s="85" t="str">
        <x:f>IF('Import Ready'!G97="","Not checked",IF(COUNTIF('Import Ready'!$G$5:$G$124,'Import Ready'!G97)&gt;1,"Duplicate phone","OK"))</x:f>
        <x:v>OK</x:v>
      </x:c>
      <x:c r="H97" s="85" t="str">
        <x:f>IF(COUNTIF('Field Rules'!$F$5:$F$9,'Import Ready'!H97)=0,"Check country",IF(COUNTIF('Field Rules'!$G$5:$G$9,'Import Ready'!I97)=0,"Check territory",IF(COUNTIF('Field Rules'!$H$5:$H$9,'Import Ready'!J97)=0,"Check lead source",IF(COUNTIF('Field Rules'!$I$5:$I$9,'Import Ready'!K97)=0,"Check segment",IF(COUNTIF('Field Rules'!$J$5:$J$7,'Import Ready'!L97)=0,"Check account status","OK")))))</x:f>
        <x:v>OK</x:v>
      </x:c>
      <x:c r="I97" s="86" t="str">
        <x:f>IF(B97&lt;&gt;"OK",B97,IF(D97&lt;&gt;"OK",D97,IF(C97&lt;&gt;"OK",C97,IF(E97&lt;&gt;"OK",E97,IF(F97&lt;&gt;"OK",F97,IF(G97&lt;&gt;"OK",G97,IF(H97&lt;&gt;"OK",H97,"Ready")))))))</x:f>
        <x:v>Ready</x:v>
      </x:c>
    </x:row>
    <x:row r="98" ht="21" customHeight="1">
      <x:c r="A98" s="87" t="str">
        <x:f>'Import Ready'!A98</x:f>
        <x:v>C-2094</x:v>
      </x:c>
      <x:c r="B98" s="88" t="str">
        <x:f>IF(OR('Import Ready'!A98="",'Import Ready'!B98="",'Import Ready'!C98="",'Import Ready'!E98="",'Import Ready'!F98="",'Import Ready'!G98="",'Import Ready'!H98="",'Import Ready'!I98="",'Import Ready'!J98="",'Import Ready'!K98="",'Import Ready'!L98="",'Import Ready'!M98="",'Entry Queue'!N98=""),"Missing required field","OK")</x:f>
        <x:v>OK</x:v>
      </x:c>
      <x:c r="C98" s="88" t="str">
        <x:f>IF('Import Ready'!F98="","Not checked",IF(OR(IFERROR(FIND("@",'Import Ready'!F98),0)=0,IFERROR(FIND(".",'Import Ready'!F98,FIND("@",'Import Ready'!F98)+2),0)=0),"Check email","OK"))</x:f>
        <x:v>OK</x:v>
      </x:c>
      <x:c r="D98" s="88" t="str">
        <x:f>IF(A98="","Not checked",IF(COUNTIF($A$5:$A$124,A98)&gt;1,"Duplicate record ID","OK"))</x:f>
        <x:v>OK</x:v>
      </x:c>
      <x:c r="E98" s="88" t="str">
        <x:f>IF('Import Ready'!F98="","Not checked",IF(COUNTIF('Import Ready'!$F$5:$F$124,'Import Ready'!F98)&gt;1,"Duplicate email","OK"))</x:f>
        <x:v>OK</x:v>
      </x:c>
      <x:c r="F98" s="88" t="str">
        <x:f>IF('Import Ready'!G98="","Not checked",IF(OR(LEN('Import Ready'!G98)&lt;10,LEN('Import Ready'!G98)&gt;22),"Check phone length","OK"))</x:f>
        <x:v>OK</x:v>
      </x:c>
      <x:c r="G98" s="88" t="str">
        <x:f>IF('Import Ready'!G98="","Not checked",IF(COUNTIF('Import Ready'!$G$5:$G$124,'Import Ready'!G98)&gt;1,"Duplicate phone","OK"))</x:f>
        <x:v>OK</x:v>
      </x:c>
      <x:c r="H98" s="88" t="str">
        <x:f>IF(COUNTIF('Field Rules'!$F$5:$F$9,'Import Ready'!H98)=0,"Check country",IF(COUNTIF('Field Rules'!$G$5:$G$9,'Import Ready'!I98)=0,"Check territory",IF(COUNTIF('Field Rules'!$H$5:$H$9,'Import Ready'!J98)=0,"Check lead source",IF(COUNTIF('Field Rules'!$I$5:$I$9,'Import Ready'!K98)=0,"Check segment",IF(COUNTIF('Field Rules'!$J$5:$J$7,'Import Ready'!L98)=0,"Check account status","OK")))))</x:f>
        <x:v>OK</x:v>
      </x:c>
      <x:c r="I98" s="89" t="str">
        <x:f>IF(B98&lt;&gt;"OK",B98,IF(D98&lt;&gt;"OK",D98,IF(C98&lt;&gt;"OK",C98,IF(E98&lt;&gt;"OK",E98,IF(F98&lt;&gt;"OK",F98,IF(G98&lt;&gt;"OK",G98,IF(H98&lt;&gt;"OK",H98,"Ready")))))))</x:f>
        <x:v>Ready</x:v>
      </x:c>
    </x:row>
    <x:row r="99" ht="21" customHeight="1">
      <x:c r="A99" s="84" t="str">
        <x:f>'Import Ready'!A99</x:f>
        <x:v>C-2095</x:v>
      </x:c>
      <x:c r="B99" s="85" t="str">
        <x:f>IF(OR('Import Ready'!A99="",'Import Ready'!B99="",'Import Ready'!C99="",'Import Ready'!E99="",'Import Ready'!F99="",'Import Ready'!G99="",'Import Ready'!H99="",'Import Ready'!I99="",'Import Ready'!J99="",'Import Ready'!K99="",'Import Ready'!L99="",'Import Ready'!M99="",'Entry Queue'!N99=""),"Missing required field","OK")</x:f>
        <x:v>OK</x:v>
      </x:c>
      <x:c r="C99" s="85" t="str">
        <x:f>IF('Import Ready'!F99="","Not checked",IF(OR(IFERROR(FIND("@",'Import Ready'!F99),0)=0,IFERROR(FIND(".",'Import Ready'!F99,FIND("@",'Import Ready'!F99)+2),0)=0),"Check email","OK"))</x:f>
        <x:v>OK</x:v>
      </x:c>
      <x:c r="D99" s="85" t="str">
        <x:f>IF(A99="","Not checked",IF(COUNTIF($A$5:$A$124,A99)&gt;1,"Duplicate record ID","OK"))</x:f>
        <x:v>OK</x:v>
      </x:c>
      <x:c r="E99" s="85" t="str">
        <x:f>IF('Import Ready'!F99="","Not checked",IF(COUNTIF('Import Ready'!$F$5:$F$124,'Import Ready'!F99)&gt;1,"Duplicate email","OK"))</x:f>
        <x:v>OK</x:v>
      </x:c>
      <x:c r="F99" s="85" t="str">
        <x:f>IF('Import Ready'!G99="","Not checked",IF(OR(LEN('Import Ready'!G99)&lt;10,LEN('Import Ready'!G99)&gt;22),"Check phone length","OK"))</x:f>
        <x:v>OK</x:v>
      </x:c>
      <x:c r="G99" s="85" t="str">
        <x:f>IF('Import Ready'!G99="","Not checked",IF(COUNTIF('Import Ready'!$G$5:$G$124,'Import Ready'!G99)&gt;1,"Duplicate phone","OK"))</x:f>
        <x:v>OK</x:v>
      </x:c>
      <x:c r="H99" s="85" t="str">
        <x:f>IF(COUNTIF('Field Rules'!$F$5:$F$9,'Import Ready'!H99)=0,"Check country",IF(COUNTIF('Field Rules'!$G$5:$G$9,'Import Ready'!I99)=0,"Check territory",IF(COUNTIF('Field Rules'!$H$5:$H$9,'Import Ready'!J99)=0,"Check lead source",IF(COUNTIF('Field Rules'!$I$5:$I$9,'Import Ready'!K99)=0,"Check segment",IF(COUNTIF('Field Rules'!$J$5:$J$7,'Import Ready'!L99)=0,"Check account status","OK")))))</x:f>
        <x:v>Check country</x:v>
      </x:c>
      <x:c r="I99" s="86" t="str">
        <x:f>IF(B99&lt;&gt;"OK",B99,IF(D99&lt;&gt;"OK",D99,IF(C99&lt;&gt;"OK",C99,IF(E99&lt;&gt;"OK",E99,IF(F99&lt;&gt;"OK",F99,IF(G99&lt;&gt;"OK",G99,IF(H99&lt;&gt;"OK",H99,"Ready")))))))</x:f>
        <x:v>Check country</x:v>
      </x:c>
    </x:row>
    <x:row r="100" ht="21" customHeight="1">
      <x:c r="A100" s="87" t="str">
        <x:f>'Import Ready'!A100</x:f>
        <x:v>C-2096</x:v>
      </x:c>
      <x:c r="B100" s="88" t="str">
        <x:f>IF(OR('Import Ready'!A100="",'Import Ready'!B100="",'Import Ready'!C100="",'Import Ready'!E100="",'Import Ready'!F100="",'Import Ready'!G100="",'Import Ready'!H100="",'Import Ready'!I100="",'Import Ready'!J100="",'Import Ready'!K100="",'Import Ready'!L100="",'Import Ready'!M100="",'Entry Queue'!N100=""),"Missing required field","OK")</x:f>
        <x:v>OK</x:v>
      </x:c>
      <x:c r="C100" s="88" t="str">
        <x:f>IF('Import Ready'!F100="","Not checked",IF(OR(IFERROR(FIND("@",'Import Ready'!F100),0)=0,IFERROR(FIND(".",'Import Ready'!F100,FIND("@",'Import Ready'!F100)+2),0)=0),"Check email","OK"))</x:f>
        <x:v>OK</x:v>
      </x:c>
      <x:c r="D100" s="88" t="str">
        <x:f>IF(A100="","Not checked",IF(COUNTIF($A$5:$A$124,A100)&gt;1,"Duplicate record ID","OK"))</x:f>
        <x:v>OK</x:v>
      </x:c>
      <x:c r="E100" s="88" t="str">
        <x:f>IF('Import Ready'!F100="","Not checked",IF(COUNTIF('Import Ready'!$F$5:$F$124,'Import Ready'!F100)&gt;1,"Duplicate email","OK"))</x:f>
        <x:v>OK</x:v>
      </x:c>
      <x:c r="F100" s="88" t="str">
        <x:f>IF('Import Ready'!G100="","Not checked",IF(OR(LEN('Import Ready'!G100)&lt;10,LEN('Import Ready'!G100)&gt;22),"Check phone length","OK"))</x:f>
        <x:v>OK</x:v>
      </x:c>
      <x:c r="G100" s="88" t="str">
        <x:f>IF('Import Ready'!G100="","Not checked",IF(COUNTIF('Import Ready'!$G$5:$G$124,'Import Ready'!G100)&gt;1,"Duplicate phone","OK"))</x:f>
        <x:v>OK</x:v>
      </x:c>
      <x:c r="H100" s="88" t="str">
        <x:f>IF(COUNTIF('Field Rules'!$F$5:$F$9,'Import Ready'!H100)=0,"Check country",IF(COUNTIF('Field Rules'!$G$5:$G$9,'Import Ready'!I100)=0,"Check territory",IF(COUNTIF('Field Rules'!$H$5:$H$9,'Import Ready'!J100)=0,"Check lead source",IF(COUNTIF('Field Rules'!$I$5:$I$9,'Import Ready'!K100)=0,"Check segment",IF(COUNTIF('Field Rules'!$J$5:$J$7,'Import Ready'!L100)=0,"Check account status","OK")))))</x:f>
        <x:v>OK</x:v>
      </x:c>
      <x:c r="I100" s="89" t="str">
        <x:f>IF(B100&lt;&gt;"OK",B100,IF(D100&lt;&gt;"OK",D100,IF(C100&lt;&gt;"OK",C100,IF(E100&lt;&gt;"OK",E100,IF(F100&lt;&gt;"OK",F100,IF(G100&lt;&gt;"OK",G100,IF(H100&lt;&gt;"OK",H100,"Ready")))))))</x:f>
        <x:v>Ready</x:v>
      </x:c>
    </x:row>
    <x:row r="101" ht="21" customHeight="1">
      <x:c r="A101" s="84" t="str">
        <x:f>'Import Ready'!A101</x:f>
        <x:v>C-2097</x:v>
      </x:c>
      <x:c r="B101" s="85" t="str">
        <x:f>IF(OR('Import Ready'!A101="",'Import Ready'!B101="",'Import Ready'!C101="",'Import Ready'!E101="",'Import Ready'!F101="",'Import Ready'!G101="",'Import Ready'!H101="",'Import Ready'!I101="",'Import Ready'!J101="",'Import Ready'!K101="",'Import Ready'!L101="",'Import Ready'!M101="",'Entry Queue'!N101=""),"Missing required field","OK")</x:f>
        <x:v>OK</x:v>
      </x:c>
      <x:c r="C101" s="85" t="str">
        <x:f>IF('Import Ready'!F101="","Not checked",IF(OR(IFERROR(FIND("@",'Import Ready'!F101),0)=0,IFERROR(FIND(".",'Import Ready'!F101,FIND("@",'Import Ready'!F101)+2),0)=0),"Check email","OK"))</x:f>
        <x:v>OK</x:v>
      </x:c>
      <x:c r="D101" s="85" t="str">
        <x:f>IF(A101="","Not checked",IF(COUNTIF($A$5:$A$124,A101)&gt;1,"Duplicate record ID","OK"))</x:f>
        <x:v>OK</x:v>
      </x:c>
      <x:c r="E101" s="85" t="str">
        <x:f>IF('Import Ready'!F101="","Not checked",IF(COUNTIF('Import Ready'!$F$5:$F$124,'Import Ready'!F101)&gt;1,"Duplicate email","OK"))</x:f>
        <x:v>OK</x:v>
      </x:c>
      <x:c r="F101" s="85" t="str">
        <x:f>IF('Import Ready'!G101="","Not checked",IF(OR(LEN('Import Ready'!G101)&lt;10,LEN('Import Ready'!G101)&gt;22),"Check phone length","OK"))</x:f>
        <x:v>OK</x:v>
      </x:c>
      <x:c r="G101" s="85" t="str">
        <x:f>IF('Import Ready'!G101="","Not checked",IF(COUNTIF('Import Ready'!$G$5:$G$124,'Import Ready'!G101)&gt;1,"Duplicate phone","OK"))</x:f>
        <x:v>OK</x:v>
      </x:c>
      <x:c r="H101" s="85" t="str">
        <x:f>IF(COUNTIF('Field Rules'!$F$5:$F$9,'Import Ready'!H101)=0,"Check country",IF(COUNTIF('Field Rules'!$G$5:$G$9,'Import Ready'!I101)=0,"Check territory",IF(COUNTIF('Field Rules'!$H$5:$H$9,'Import Ready'!J101)=0,"Check lead source",IF(COUNTIF('Field Rules'!$I$5:$I$9,'Import Ready'!K101)=0,"Check segment",IF(COUNTIF('Field Rules'!$J$5:$J$7,'Import Ready'!L101)=0,"Check account status","OK")))))</x:f>
        <x:v>OK</x:v>
      </x:c>
      <x:c r="I101" s="86" t="str">
        <x:f>IF(B101&lt;&gt;"OK",B101,IF(D101&lt;&gt;"OK",D101,IF(C101&lt;&gt;"OK",C101,IF(E101&lt;&gt;"OK",E101,IF(F101&lt;&gt;"OK",F101,IF(G101&lt;&gt;"OK",G101,IF(H101&lt;&gt;"OK",H101,"Ready")))))))</x:f>
        <x:v>Ready</x:v>
      </x:c>
    </x:row>
    <x:row r="102" ht="21" customHeight="1">
      <x:c r="A102" s="87" t="str">
        <x:f>'Import Ready'!A102</x:f>
        <x:v>C-2098</x:v>
      </x:c>
      <x:c r="B102" s="88" t="str">
        <x:f>IF(OR('Import Ready'!A102="",'Import Ready'!B102="",'Import Ready'!C102="",'Import Ready'!E102="",'Import Ready'!F102="",'Import Ready'!G102="",'Import Ready'!H102="",'Import Ready'!I102="",'Import Ready'!J102="",'Import Ready'!K102="",'Import Ready'!L102="",'Import Ready'!M102="",'Entry Queue'!N102=""),"Missing required field","OK")</x:f>
        <x:v>OK</x:v>
      </x:c>
      <x:c r="C102" s="88" t="str">
        <x:f>IF('Import Ready'!F102="","Not checked",IF(OR(IFERROR(FIND("@",'Import Ready'!F102),0)=0,IFERROR(FIND(".",'Import Ready'!F102,FIND("@",'Import Ready'!F102)+2),0)=0),"Check email","OK"))</x:f>
        <x:v>OK</x:v>
      </x:c>
      <x:c r="D102" s="88" t="str">
        <x:f>IF(A102="","Not checked",IF(COUNTIF($A$5:$A$124,A102)&gt;1,"Duplicate record ID","OK"))</x:f>
        <x:v>OK</x:v>
      </x:c>
      <x:c r="E102" s="88" t="str">
        <x:f>IF('Import Ready'!F102="","Not checked",IF(COUNTIF('Import Ready'!$F$5:$F$124,'Import Ready'!F102)&gt;1,"Duplicate email","OK"))</x:f>
        <x:v>OK</x:v>
      </x:c>
      <x:c r="F102" s="88" t="str">
        <x:f>IF('Import Ready'!G102="","Not checked",IF(OR(LEN('Import Ready'!G102)&lt;10,LEN('Import Ready'!G102)&gt;22),"Check phone length","OK"))</x:f>
        <x:v>OK</x:v>
      </x:c>
      <x:c r="G102" s="88" t="str">
        <x:f>IF('Import Ready'!G102="","Not checked",IF(COUNTIF('Import Ready'!$G$5:$G$124,'Import Ready'!G102)&gt;1,"Duplicate phone","OK"))</x:f>
        <x:v>OK</x:v>
      </x:c>
      <x:c r="H102" s="88" t="str">
        <x:f>IF(COUNTIF('Field Rules'!$F$5:$F$9,'Import Ready'!H102)=0,"Check country",IF(COUNTIF('Field Rules'!$G$5:$G$9,'Import Ready'!I102)=0,"Check territory",IF(COUNTIF('Field Rules'!$H$5:$H$9,'Import Ready'!J102)=0,"Check lead source",IF(COUNTIF('Field Rules'!$I$5:$I$9,'Import Ready'!K102)=0,"Check segment",IF(COUNTIF('Field Rules'!$J$5:$J$7,'Import Ready'!L102)=0,"Check account status","OK")))))</x:f>
        <x:v>OK</x:v>
      </x:c>
      <x:c r="I102" s="89" t="str">
        <x:f>IF(B102&lt;&gt;"OK",B102,IF(D102&lt;&gt;"OK",D102,IF(C102&lt;&gt;"OK",C102,IF(E102&lt;&gt;"OK",E102,IF(F102&lt;&gt;"OK",F102,IF(G102&lt;&gt;"OK",G102,IF(H102&lt;&gt;"OK",H102,"Ready")))))))</x:f>
        <x:v>Ready</x:v>
      </x:c>
    </x:row>
    <x:row r="103" ht="21" customHeight="1">
      <x:c r="A103" s="84" t="str">
        <x:f>'Import Ready'!A103</x:f>
        <x:v>C-2099</x:v>
      </x:c>
      <x:c r="B103" s="85" t="str">
        <x:f>IF(OR('Import Ready'!A103="",'Import Ready'!B103="",'Import Ready'!C103="",'Import Ready'!E103="",'Import Ready'!F103="",'Import Ready'!G103="",'Import Ready'!H103="",'Import Ready'!I103="",'Import Ready'!J103="",'Import Ready'!K103="",'Import Ready'!L103="",'Import Ready'!M103="",'Entry Queue'!N103=""),"Missing required field","OK")</x:f>
        <x:v>OK</x:v>
      </x:c>
      <x:c r="C103" s="85" t="str">
        <x:f>IF('Import Ready'!F103="","Not checked",IF(OR(IFERROR(FIND("@",'Import Ready'!F103),0)=0,IFERROR(FIND(".",'Import Ready'!F103,FIND("@",'Import Ready'!F103)+2),0)=0),"Check email","OK"))</x:f>
        <x:v>OK</x:v>
      </x:c>
      <x:c r="D103" s="85" t="str">
        <x:f>IF(A103="","Not checked",IF(COUNTIF($A$5:$A$124,A103)&gt;1,"Duplicate record ID","OK"))</x:f>
        <x:v>OK</x:v>
      </x:c>
      <x:c r="E103" s="85" t="str">
        <x:f>IF('Import Ready'!F103="","Not checked",IF(COUNTIF('Import Ready'!$F$5:$F$124,'Import Ready'!F103)&gt;1,"Duplicate email","OK"))</x:f>
        <x:v>OK</x:v>
      </x:c>
      <x:c r="F103" s="85" t="str">
        <x:f>IF('Import Ready'!G103="","Not checked",IF(OR(LEN('Import Ready'!G103)&lt;10,LEN('Import Ready'!G103)&gt;22),"Check phone length","OK"))</x:f>
        <x:v>OK</x:v>
      </x:c>
      <x:c r="G103" s="85" t="str">
        <x:f>IF('Import Ready'!G103="","Not checked",IF(COUNTIF('Import Ready'!$G$5:$G$124,'Import Ready'!G103)&gt;1,"Duplicate phone","OK"))</x:f>
        <x:v>OK</x:v>
      </x:c>
      <x:c r="H103" s="85" t="str">
        <x:f>IF(COUNTIF('Field Rules'!$F$5:$F$9,'Import Ready'!H103)=0,"Check country",IF(COUNTIF('Field Rules'!$G$5:$G$9,'Import Ready'!I103)=0,"Check territory",IF(COUNTIF('Field Rules'!$H$5:$H$9,'Import Ready'!J103)=0,"Check lead source",IF(COUNTIF('Field Rules'!$I$5:$I$9,'Import Ready'!K103)=0,"Check segment",IF(COUNTIF('Field Rules'!$J$5:$J$7,'Import Ready'!L103)=0,"Check account status","OK")))))</x:f>
        <x:v>OK</x:v>
      </x:c>
      <x:c r="I103" s="86" t="str">
        <x:f>IF(B103&lt;&gt;"OK",B103,IF(D103&lt;&gt;"OK",D103,IF(C103&lt;&gt;"OK",C103,IF(E103&lt;&gt;"OK",E103,IF(F103&lt;&gt;"OK",F103,IF(G103&lt;&gt;"OK",G103,IF(H103&lt;&gt;"OK",H103,"Ready")))))))</x:f>
        <x:v>Ready</x:v>
      </x:c>
    </x:row>
    <x:row r="104" ht="21" customHeight="1">
      <x:c r="A104" s="87" t="str">
        <x:f>'Import Ready'!A104</x:f>
        <x:v>C-2100</x:v>
      </x:c>
      <x:c r="B104" s="88" t="str">
        <x:f>IF(OR('Import Ready'!A104="",'Import Ready'!B104="",'Import Ready'!C104="",'Import Ready'!E104="",'Import Ready'!F104="",'Import Ready'!G104="",'Import Ready'!H104="",'Import Ready'!I104="",'Import Ready'!J104="",'Import Ready'!K104="",'Import Ready'!L104="",'Import Ready'!M104="",'Entry Queue'!N104=""),"Missing required field","OK")</x:f>
        <x:v>OK</x:v>
      </x:c>
      <x:c r="C104" s="88" t="str">
        <x:f>IF('Import Ready'!F104="","Not checked",IF(OR(IFERROR(FIND("@",'Import Ready'!F104),0)=0,IFERROR(FIND(".",'Import Ready'!F104,FIND("@",'Import Ready'!F104)+2),0)=0),"Check email","OK"))</x:f>
        <x:v>OK</x:v>
      </x:c>
      <x:c r="D104" s="88" t="str">
        <x:f>IF(A104="","Not checked",IF(COUNTIF($A$5:$A$124,A104)&gt;1,"Duplicate record ID","OK"))</x:f>
        <x:v>OK</x:v>
      </x:c>
      <x:c r="E104" s="88" t="str">
        <x:f>IF('Import Ready'!F104="","Not checked",IF(COUNTIF('Import Ready'!$F$5:$F$124,'Import Ready'!F104)&gt;1,"Duplicate email","OK"))</x:f>
        <x:v>OK</x:v>
      </x:c>
      <x:c r="F104" s="88" t="str">
        <x:f>IF('Import Ready'!G104="","Not checked",IF(OR(LEN('Import Ready'!G104)&lt;10,LEN('Import Ready'!G104)&gt;22),"Check phone length","OK"))</x:f>
        <x:v>OK</x:v>
      </x:c>
      <x:c r="G104" s="88" t="str">
        <x:f>IF('Import Ready'!G104="","Not checked",IF(COUNTIF('Import Ready'!$G$5:$G$124,'Import Ready'!G104)&gt;1,"Duplicate phone","OK"))</x:f>
        <x:v>OK</x:v>
      </x:c>
      <x:c r="H104" s="88" t="str">
        <x:f>IF(COUNTIF('Field Rules'!$F$5:$F$9,'Import Ready'!H104)=0,"Check country",IF(COUNTIF('Field Rules'!$G$5:$G$9,'Import Ready'!I104)=0,"Check territory",IF(COUNTIF('Field Rules'!$H$5:$H$9,'Import Ready'!J104)=0,"Check lead source",IF(COUNTIF('Field Rules'!$I$5:$I$9,'Import Ready'!K104)=0,"Check segment",IF(COUNTIF('Field Rules'!$J$5:$J$7,'Import Ready'!L104)=0,"Check account status","OK")))))</x:f>
        <x:v>OK</x:v>
      </x:c>
      <x:c r="I104" s="89" t="str">
        <x:f>IF(B104&lt;&gt;"OK",B104,IF(D104&lt;&gt;"OK",D104,IF(C104&lt;&gt;"OK",C104,IF(E104&lt;&gt;"OK",E104,IF(F104&lt;&gt;"OK",F104,IF(G104&lt;&gt;"OK",G104,IF(H104&lt;&gt;"OK",H104,"Ready")))))))</x:f>
        <x:v>Ready</x:v>
      </x:c>
    </x:row>
    <x:row r="105" ht="21" customHeight="1">
      <x:c r="A105" s="84" t="str">
        <x:f>'Import Ready'!A105</x:f>
        <x:v>C-2101</x:v>
      </x:c>
      <x:c r="B105" s="85" t="str">
        <x:f>IF(OR('Import Ready'!A105="",'Import Ready'!B105="",'Import Ready'!C105="",'Import Ready'!E105="",'Import Ready'!F105="",'Import Ready'!G105="",'Import Ready'!H105="",'Import Ready'!I105="",'Import Ready'!J105="",'Import Ready'!K105="",'Import Ready'!L105="",'Import Ready'!M105="",'Entry Queue'!N105=""),"Missing required field","OK")</x:f>
        <x:v>OK</x:v>
      </x:c>
      <x:c r="C105" s="85" t="str">
        <x:f>IF('Import Ready'!F105="","Not checked",IF(OR(IFERROR(FIND("@",'Import Ready'!F105),0)=0,IFERROR(FIND(".",'Import Ready'!F105,FIND("@",'Import Ready'!F105)+2),0)=0),"Check email","OK"))</x:f>
        <x:v>OK</x:v>
      </x:c>
      <x:c r="D105" s="85" t="str">
        <x:f>IF(A105="","Not checked",IF(COUNTIF($A$5:$A$124,A105)&gt;1,"Duplicate record ID","OK"))</x:f>
        <x:v>OK</x:v>
      </x:c>
      <x:c r="E105" s="85" t="str">
        <x:f>IF('Import Ready'!F105="","Not checked",IF(COUNTIF('Import Ready'!$F$5:$F$124,'Import Ready'!F105)&gt;1,"Duplicate email","OK"))</x:f>
        <x:v>OK</x:v>
      </x:c>
      <x:c r="F105" s="85" t="str">
        <x:f>IF('Import Ready'!G105="","Not checked",IF(OR(LEN('Import Ready'!G105)&lt;10,LEN('Import Ready'!G105)&gt;22),"Check phone length","OK"))</x:f>
        <x:v>OK</x:v>
      </x:c>
      <x:c r="G105" s="85" t="str">
        <x:f>IF('Import Ready'!G105="","Not checked",IF(COUNTIF('Import Ready'!$G$5:$G$124,'Import Ready'!G105)&gt;1,"Duplicate phone","OK"))</x:f>
        <x:v>OK</x:v>
      </x:c>
      <x:c r="H105" s="85" t="str">
        <x:f>IF(COUNTIF('Field Rules'!$F$5:$F$9,'Import Ready'!H105)=0,"Check country",IF(COUNTIF('Field Rules'!$G$5:$G$9,'Import Ready'!I105)=0,"Check territory",IF(COUNTIF('Field Rules'!$H$5:$H$9,'Import Ready'!J105)=0,"Check lead source",IF(COUNTIF('Field Rules'!$I$5:$I$9,'Import Ready'!K105)=0,"Check segment",IF(COUNTIF('Field Rules'!$J$5:$J$7,'Import Ready'!L105)=0,"Check account status","OK")))))</x:f>
        <x:v>OK</x:v>
      </x:c>
      <x:c r="I105" s="86" t="str">
        <x:f>IF(B105&lt;&gt;"OK",B105,IF(D105&lt;&gt;"OK",D105,IF(C105&lt;&gt;"OK",C105,IF(E105&lt;&gt;"OK",E105,IF(F105&lt;&gt;"OK",F105,IF(G105&lt;&gt;"OK",G105,IF(H105&lt;&gt;"OK",H105,"Ready")))))))</x:f>
        <x:v>Ready</x:v>
      </x:c>
    </x:row>
    <x:row r="106" ht="21" customHeight="1">
      <x:c r="A106" s="87" t="str">
        <x:f>'Import Ready'!A106</x:f>
        <x:v>C-2102</x:v>
      </x:c>
      <x:c r="B106" s="88" t="str">
        <x:f>IF(OR('Import Ready'!A106="",'Import Ready'!B106="",'Import Ready'!C106="",'Import Ready'!E106="",'Import Ready'!F106="",'Import Ready'!G106="",'Import Ready'!H106="",'Import Ready'!I106="",'Import Ready'!J106="",'Import Ready'!K106="",'Import Ready'!L106="",'Import Ready'!M106="",'Entry Queue'!N106=""),"Missing required field","OK")</x:f>
        <x:v>OK</x:v>
      </x:c>
      <x:c r="C106" s="88" t="str">
        <x:f>IF('Import Ready'!F106="","Not checked",IF(OR(IFERROR(FIND("@",'Import Ready'!F106),0)=0,IFERROR(FIND(".",'Import Ready'!F106,FIND("@",'Import Ready'!F106)+2),0)=0),"Check email","OK"))</x:f>
        <x:v>OK</x:v>
      </x:c>
      <x:c r="D106" s="88" t="str">
        <x:f>IF(A106="","Not checked",IF(COUNTIF($A$5:$A$124,A106)&gt;1,"Duplicate record ID","OK"))</x:f>
        <x:v>OK</x:v>
      </x:c>
      <x:c r="E106" s="88" t="str">
        <x:f>IF('Import Ready'!F106="","Not checked",IF(COUNTIF('Import Ready'!$F$5:$F$124,'Import Ready'!F106)&gt;1,"Duplicate email","OK"))</x:f>
        <x:v>OK</x:v>
      </x:c>
      <x:c r="F106" s="88" t="str">
        <x:f>IF('Import Ready'!G106="","Not checked",IF(OR(LEN('Import Ready'!G106)&lt;10,LEN('Import Ready'!G106)&gt;22),"Check phone length","OK"))</x:f>
        <x:v>OK</x:v>
      </x:c>
      <x:c r="G106" s="88" t="str">
        <x:f>IF('Import Ready'!G106="","Not checked",IF(COUNTIF('Import Ready'!$G$5:$G$124,'Import Ready'!G106)&gt;1,"Duplicate phone","OK"))</x:f>
        <x:v>OK</x:v>
      </x:c>
      <x:c r="H106" s="88" t="str">
        <x:f>IF(COUNTIF('Field Rules'!$F$5:$F$9,'Import Ready'!H106)=0,"Check country",IF(COUNTIF('Field Rules'!$G$5:$G$9,'Import Ready'!I106)=0,"Check territory",IF(COUNTIF('Field Rules'!$H$5:$H$9,'Import Ready'!J106)=0,"Check lead source",IF(COUNTIF('Field Rules'!$I$5:$I$9,'Import Ready'!K106)=0,"Check segment",IF(COUNTIF('Field Rules'!$J$5:$J$7,'Import Ready'!L106)=0,"Check account status","OK")))))</x:f>
        <x:v>OK</x:v>
      </x:c>
      <x:c r="I106" s="89" t="str">
        <x:f>IF(B106&lt;&gt;"OK",B106,IF(D106&lt;&gt;"OK",D106,IF(C106&lt;&gt;"OK",C106,IF(E106&lt;&gt;"OK",E106,IF(F106&lt;&gt;"OK",F106,IF(G106&lt;&gt;"OK",G106,IF(H106&lt;&gt;"OK",H106,"Ready")))))))</x:f>
        <x:v>Ready</x:v>
      </x:c>
    </x:row>
    <x:row r="107" ht="21" customHeight="1">
      <x:c r="A107" s="84" t="str">
        <x:f>'Import Ready'!A107</x:f>
        <x:v>C-2103</x:v>
      </x:c>
      <x:c r="B107" s="85" t="str">
        <x:f>IF(OR('Import Ready'!A107="",'Import Ready'!B107="",'Import Ready'!C107="",'Import Ready'!E107="",'Import Ready'!F107="",'Import Ready'!G107="",'Import Ready'!H107="",'Import Ready'!I107="",'Import Ready'!J107="",'Import Ready'!K107="",'Import Ready'!L107="",'Import Ready'!M107="",'Entry Queue'!N107=""),"Missing required field","OK")</x:f>
        <x:v>OK</x:v>
      </x:c>
      <x:c r="C107" s="85" t="str">
        <x:f>IF('Import Ready'!F107="","Not checked",IF(OR(IFERROR(FIND("@",'Import Ready'!F107),0)=0,IFERROR(FIND(".",'Import Ready'!F107,FIND("@",'Import Ready'!F107)+2),0)=0),"Check email","OK"))</x:f>
        <x:v>OK</x:v>
      </x:c>
      <x:c r="D107" s="85" t="str">
        <x:f>IF(A107="","Not checked",IF(COUNTIF($A$5:$A$124,A107)&gt;1,"Duplicate record ID","OK"))</x:f>
        <x:v>OK</x:v>
      </x:c>
      <x:c r="E107" s="85" t="str">
        <x:f>IF('Import Ready'!F107="","Not checked",IF(COUNTIF('Import Ready'!$F$5:$F$124,'Import Ready'!F107)&gt;1,"Duplicate email","OK"))</x:f>
        <x:v>OK</x:v>
      </x:c>
      <x:c r="F107" s="85" t="str">
        <x:f>IF('Import Ready'!G107="","Not checked",IF(OR(LEN('Import Ready'!G107)&lt;10,LEN('Import Ready'!G107)&gt;22),"Check phone length","OK"))</x:f>
        <x:v>OK</x:v>
      </x:c>
      <x:c r="G107" s="85" t="str">
        <x:f>IF('Import Ready'!G107="","Not checked",IF(COUNTIF('Import Ready'!$G$5:$G$124,'Import Ready'!G107)&gt;1,"Duplicate phone","OK"))</x:f>
        <x:v>OK</x:v>
      </x:c>
      <x:c r="H107" s="85" t="str">
        <x:f>IF(COUNTIF('Field Rules'!$F$5:$F$9,'Import Ready'!H107)=0,"Check country",IF(COUNTIF('Field Rules'!$G$5:$G$9,'Import Ready'!I107)=0,"Check territory",IF(COUNTIF('Field Rules'!$H$5:$H$9,'Import Ready'!J107)=0,"Check lead source",IF(COUNTIF('Field Rules'!$I$5:$I$9,'Import Ready'!K107)=0,"Check segment",IF(COUNTIF('Field Rules'!$J$5:$J$7,'Import Ready'!L107)=0,"Check account status","OK")))))</x:f>
        <x:v>OK</x:v>
      </x:c>
      <x:c r="I107" s="86" t="str">
        <x:f>IF(B107&lt;&gt;"OK",B107,IF(D107&lt;&gt;"OK",D107,IF(C107&lt;&gt;"OK",C107,IF(E107&lt;&gt;"OK",E107,IF(F107&lt;&gt;"OK",F107,IF(G107&lt;&gt;"OK",G107,IF(H107&lt;&gt;"OK",H107,"Ready")))))))</x:f>
        <x:v>Ready</x:v>
      </x:c>
    </x:row>
    <x:row r="108" ht="21" customHeight="1">
      <x:c r="A108" s="87" t="str">
        <x:f>'Import Ready'!A108</x:f>
        <x:v>C-2104</x:v>
      </x:c>
      <x:c r="B108" s="88" t="str">
        <x:f>IF(OR('Import Ready'!A108="",'Import Ready'!B108="",'Import Ready'!C108="",'Import Ready'!E108="",'Import Ready'!F108="",'Import Ready'!G108="",'Import Ready'!H108="",'Import Ready'!I108="",'Import Ready'!J108="",'Import Ready'!K108="",'Import Ready'!L108="",'Import Ready'!M108="",'Entry Queue'!N108=""),"Missing required field","OK")</x:f>
        <x:v>OK</x:v>
      </x:c>
      <x:c r="C108" s="88" t="str">
        <x:f>IF('Import Ready'!F108="","Not checked",IF(OR(IFERROR(FIND("@",'Import Ready'!F108),0)=0,IFERROR(FIND(".",'Import Ready'!F108,FIND("@",'Import Ready'!F108)+2),0)=0),"Check email","OK"))</x:f>
        <x:v>OK</x:v>
      </x:c>
      <x:c r="D108" s="88" t="str">
        <x:f>IF(A108="","Not checked",IF(COUNTIF($A$5:$A$124,A108)&gt;1,"Duplicate record ID","OK"))</x:f>
        <x:v>OK</x:v>
      </x:c>
      <x:c r="E108" s="88" t="str">
        <x:f>IF('Import Ready'!F108="","Not checked",IF(COUNTIF('Import Ready'!$F$5:$F$124,'Import Ready'!F108)&gt;1,"Duplicate email","OK"))</x:f>
        <x:v>OK</x:v>
      </x:c>
      <x:c r="F108" s="88" t="str">
        <x:f>IF('Import Ready'!G108="","Not checked",IF(OR(LEN('Import Ready'!G108)&lt;10,LEN('Import Ready'!G108)&gt;22),"Check phone length","OK"))</x:f>
        <x:v>OK</x:v>
      </x:c>
      <x:c r="G108" s="88" t="str">
        <x:f>IF('Import Ready'!G108="","Not checked",IF(COUNTIF('Import Ready'!$G$5:$G$124,'Import Ready'!G108)&gt;1,"Duplicate phone","OK"))</x:f>
        <x:v>OK</x:v>
      </x:c>
      <x:c r="H108" s="88" t="str">
        <x:f>IF(COUNTIF('Field Rules'!$F$5:$F$9,'Import Ready'!H108)=0,"Check country",IF(COUNTIF('Field Rules'!$G$5:$G$9,'Import Ready'!I108)=0,"Check territory",IF(COUNTIF('Field Rules'!$H$5:$H$9,'Import Ready'!J108)=0,"Check lead source",IF(COUNTIF('Field Rules'!$I$5:$I$9,'Import Ready'!K108)=0,"Check segment",IF(COUNTIF('Field Rules'!$J$5:$J$7,'Import Ready'!L108)=0,"Check account status","OK")))))</x:f>
        <x:v>OK</x:v>
      </x:c>
      <x:c r="I108" s="89" t="str">
        <x:f>IF(B108&lt;&gt;"OK",B108,IF(D108&lt;&gt;"OK",D108,IF(C108&lt;&gt;"OK",C108,IF(E108&lt;&gt;"OK",E108,IF(F108&lt;&gt;"OK",F108,IF(G108&lt;&gt;"OK",G108,IF(H108&lt;&gt;"OK",H108,"Ready")))))))</x:f>
        <x:v>Ready</x:v>
      </x:c>
    </x:row>
    <x:row r="109" ht="21" customHeight="1">
      <x:c r="A109" s="84" t="str">
        <x:f>'Import Ready'!A109</x:f>
        <x:v>C-2105</x:v>
      </x:c>
      <x:c r="B109" s="85" t="str">
        <x:f>IF(OR('Import Ready'!A109="",'Import Ready'!B109="",'Import Ready'!C109="",'Import Ready'!E109="",'Import Ready'!F109="",'Import Ready'!G109="",'Import Ready'!H109="",'Import Ready'!I109="",'Import Ready'!J109="",'Import Ready'!K109="",'Import Ready'!L109="",'Import Ready'!M109="",'Entry Queue'!N109=""),"Missing required field","OK")</x:f>
        <x:v>OK</x:v>
      </x:c>
      <x:c r="C109" s="85" t="str">
        <x:f>IF('Import Ready'!F109="","Not checked",IF(OR(IFERROR(FIND("@",'Import Ready'!F109),0)=0,IFERROR(FIND(".",'Import Ready'!F109,FIND("@",'Import Ready'!F109)+2),0)=0),"Check email","OK"))</x:f>
        <x:v>OK</x:v>
      </x:c>
      <x:c r="D109" s="85" t="str">
        <x:f>IF(A109="","Not checked",IF(COUNTIF($A$5:$A$124,A109)&gt;1,"Duplicate record ID","OK"))</x:f>
        <x:v>OK</x:v>
      </x:c>
      <x:c r="E109" s="85" t="str">
        <x:f>IF('Import Ready'!F109="","Not checked",IF(COUNTIF('Import Ready'!$F$5:$F$124,'Import Ready'!F109)&gt;1,"Duplicate email","OK"))</x:f>
        <x:v>OK</x:v>
      </x:c>
      <x:c r="F109" s="85" t="str">
        <x:f>IF('Import Ready'!G109="","Not checked",IF(OR(LEN('Import Ready'!G109)&lt;10,LEN('Import Ready'!G109)&gt;22),"Check phone length","OK"))</x:f>
        <x:v>OK</x:v>
      </x:c>
      <x:c r="G109" s="85" t="str">
        <x:f>IF('Import Ready'!G109="","Not checked",IF(COUNTIF('Import Ready'!$G$5:$G$124,'Import Ready'!G109)&gt;1,"Duplicate phone","OK"))</x:f>
        <x:v>OK</x:v>
      </x:c>
      <x:c r="H109" s="85" t="str">
        <x:f>IF(COUNTIF('Field Rules'!$F$5:$F$9,'Import Ready'!H109)=0,"Check country",IF(COUNTIF('Field Rules'!$G$5:$G$9,'Import Ready'!I109)=0,"Check territory",IF(COUNTIF('Field Rules'!$H$5:$H$9,'Import Ready'!J109)=0,"Check lead source",IF(COUNTIF('Field Rules'!$I$5:$I$9,'Import Ready'!K109)=0,"Check segment",IF(COUNTIF('Field Rules'!$J$5:$J$7,'Import Ready'!L109)=0,"Check account status","OK")))))</x:f>
        <x:v>OK</x:v>
      </x:c>
      <x:c r="I109" s="86" t="str">
        <x:f>IF(B109&lt;&gt;"OK",B109,IF(D109&lt;&gt;"OK",D109,IF(C109&lt;&gt;"OK",C109,IF(E109&lt;&gt;"OK",E109,IF(F109&lt;&gt;"OK",F109,IF(G109&lt;&gt;"OK",G109,IF(H109&lt;&gt;"OK",H109,"Ready")))))))</x:f>
        <x:v>Ready</x:v>
      </x:c>
    </x:row>
    <x:row r="110" ht="21" customHeight="1">
      <x:c r="A110" s="87" t="str">
        <x:f>'Import Ready'!A110</x:f>
        <x:v>C-2106</x:v>
      </x:c>
      <x:c r="B110" s="88" t="str">
        <x:f>IF(OR('Import Ready'!A110="",'Import Ready'!B110="",'Import Ready'!C110="",'Import Ready'!E110="",'Import Ready'!F110="",'Import Ready'!G110="",'Import Ready'!H110="",'Import Ready'!I110="",'Import Ready'!J110="",'Import Ready'!K110="",'Import Ready'!L110="",'Import Ready'!M110="",'Entry Queue'!N110=""),"Missing required field","OK")</x:f>
        <x:v>OK</x:v>
      </x:c>
      <x:c r="C110" s="88" t="str">
        <x:f>IF('Import Ready'!F110="","Not checked",IF(OR(IFERROR(FIND("@",'Import Ready'!F110),0)=0,IFERROR(FIND(".",'Import Ready'!F110,FIND("@",'Import Ready'!F110)+2),0)=0),"Check email","OK"))</x:f>
        <x:v>OK</x:v>
      </x:c>
      <x:c r="D110" s="88" t="str">
        <x:f>IF(A110="","Not checked",IF(COUNTIF($A$5:$A$124,A110)&gt;1,"Duplicate record ID","OK"))</x:f>
        <x:v>OK</x:v>
      </x:c>
      <x:c r="E110" s="88" t="str">
        <x:f>IF('Import Ready'!F110="","Not checked",IF(COUNTIF('Import Ready'!$F$5:$F$124,'Import Ready'!F110)&gt;1,"Duplicate email","OK"))</x:f>
        <x:v>OK</x:v>
      </x:c>
      <x:c r="F110" s="88" t="str">
        <x:f>IF('Import Ready'!G110="","Not checked",IF(OR(LEN('Import Ready'!G110)&lt;10,LEN('Import Ready'!G110)&gt;22),"Check phone length","OK"))</x:f>
        <x:v>OK</x:v>
      </x:c>
      <x:c r="G110" s="88" t="str">
        <x:f>IF('Import Ready'!G110="","Not checked",IF(COUNTIF('Import Ready'!$G$5:$G$124,'Import Ready'!G110)&gt;1,"Duplicate phone","OK"))</x:f>
        <x:v>OK</x:v>
      </x:c>
      <x:c r="H110" s="88" t="str">
        <x:f>IF(COUNTIF('Field Rules'!$F$5:$F$9,'Import Ready'!H110)=0,"Check country",IF(COUNTIF('Field Rules'!$G$5:$G$9,'Import Ready'!I110)=0,"Check territory",IF(COUNTIF('Field Rules'!$H$5:$H$9,'Import Ready'!J110)=0,"Check lead source",IF(COUNTIF('Field Rules'!$I$5:$I$9,'Import Ready'!K110)=0,"Check segment",IF(COUNTIF('Field Rules'!$J$5:$J$7,'Import Ready'!L110)=0,"Check account status","OK")))))</x:f>
        <x:v>OK</x:v>
      </x:c>
      <x:c r="I110" s="89" t="str">
        <x:f>IF(B110&lt;&gt;"OK",B110,IF(D110&lt;&gt;"OK",D110,IF(C110&lt;&gt;"OK",C110,IF(E110&lt;&gt;"OK",E110,IF(F110&lt;&gt;"OK",F110,IF(G110&lt;&gt;"OK",G110,IF(H110&lt;&gt;"OK",H110,"Ready")))))))</x:f>
        <x:v>Ready</x:v>
      </x:c>
    </x:row>
    <x:row r="111" ht="21" customHeight="1">
      <x:c r="A111" s="84" t="str">
        <x:f>'Import Ready'!A111</x:f>
        <x:v>C-2107</x:v>
      </x:c>
      <x:c r="B111" s="85" t="str">
        <x:f>IF(OR('Import Ready'!A111="",'Import Ready'!B111="",'Import Ready'!C111="",'Import Ready'!E111="",'Import Ready'!F111="",'Import Ready'!G111="",'Import Ready'!H111="",'Import Ready'!I111="",'Import Ready'!J111="",'Import Ready'!K111="",'Import Ready'!L111="",'Import Ready'!M111="",'Entry Queue'!N111=""),"Missing required field","OK")</x:f>
        <x:v>OK</x:v>
      </x:c>
      <x:c r="C111" s="85" t="str">
        <x:f>IF('Import Ready'!F111="","Not checked",IF(OR(IFERROR(FIND("@",'Import Ready'!F111),0)=0,IFERROR(FIND(".",'Import Ready'!F111,FIND("@",'Import Ready'!F111)+2),0)=0),"Check email","OK"))</x:f>
        <x:v>OK</x:v>
      </x:c>
      <x:c r="D111" s="85" t="str">
        <x:f>IF(A111="","Not checked",IF(COUNTIF($A$5:$A$124,A111)&gt;1,"Duplicate record ID","OK"))</x:f>
        <x:v>OK</x:v>
      </x:c>
      <x:c r="E111" s="85" t="str">
        <x:f>IF('Import Ready'!F111="","Not checked",IF(COUNTIF('Import Ready'!$F$5:$F$124,'Import Ready'!F111)&gt;1,"Duplicate email","OK"))</x:f>
        <x:v>OK</x:v>
      </x:c>
      <x:c r="F111" s="85" t="str">
        <x:f>IF('Import Ready'!G111="","Not checked",IF(OR(LEN('Import Ready'!G111)&lt;10,LEN('Import Ready'!G111)&gt;22),"Check phone length","OK"))</x:f>
        <x:v>OK</x:v>
      </x:c>
      <x:c r="G111" s="85" t="str">
        <x:f>IF('Import Ready'!G111="","Not checked",IF(COUNTIF('Import Ready'!$G$5:$G$124,'Import Ready'!G111)&gt;1,"Duplicate phone","OK"))</x:f>
        <x:v>OK</x:v>
      </x:c>
      <x:c r="H111" s="85" t="str">
        <x:f>IF(COUNTIF('Field Rules'!$F$5:$F$9,'Import Ready'!H111)=0,"Check country",IF(COUNTIF('Field Rules'!$G$5:$G$9,'Import Ready'!I111)=0,"Check territory",IF(COUNTIF('Field Rules'!$H$5:$H$9,'Import Ready'!J111)=0,"Check lead source",IF(COUNTIF('Field Rules'!$I$5:$I$9,'Import Ready'!K111)=0,"Check segment",IF(COUNTIF('Field Rules'!$J$5:$J$7,'Import Ready'!L111)=0,"Check account status","OK")))))</x:f>
        <x:v>OK</x:v>
      </x:c>
      <x:c r="I111" s="86" t="str">
        <x:f>IF(B111&lt;&gt;"OK",B111,IF(D111&lt;&gt;"OK",D111,IF(C111&lt;&gt;"OK",C111,IF(E111&lt;&gt;"OK",E111,IF(F111&lt;&gt;"OK",F111,IF(G111&lt;&gt;"OK",G111,IF(H111&lt;&gt;"OK",H111,"Ready")))))))</x:f>
        <x:v>Ready</x:v>
      </x:c>
    </x:row>
    <x:row r="112" ht="21" customHeight="1">
      <x:c r="A112" s="87" t="str">
        <x:f>'Import Ready'!A112</x:f>
        <x:v>C-2108</x:v>
      </x:c>
      <x:c r="B112" s="88" t="str">
        <x:f>IF(OR('Import Ready'!A112="",'Import Ready'!B112="",'Import Ready'!C112="",'Import Ready'!E112="",'Import Ready'!F112="",'Import Ready'!G112="",'Import Ready'!H112="",'Import Ready'!I112="",'Import Ready'!J112="",'Import Ready'!K112="",'Import Ready'!L112="",'Import Ready'!M112="",'Entry Queue'!N112=""),"Missing required field","OK")</x:f>
        <x:v>OK</x:v>
      </x:c>
      <x:c r="C112" s="88" t="str">
        <x:f>IF('Import Ready'!F112="","Not checked",IF(OR(IFERROR(FIND("@",'Import Ready'!F112),0)=0,IFERROR(FIND(".",'Import Ready'!F112,FIND("@",'Import Ready'!F112)+2),0)=0),"Check email","OK"))</x:f>
        <x:v>OK</x:v>
      </x:c>
      <x:c r="D112" s="88" t="str">
        <x:f>IF(A112="","Not checked",IF(COUNTIF($A$5:$A$124,A112)&gt;1,"Duplicate record ID","OK"))</x:f>
        <x:v>OK</x:v>
      </x:c>
      <x:c r="E112" s="88" t="str">
        <x:f>IF('Import Ready'!F112="","Not checked",IF(COUNTIF('Import Ready'!$F$5:$F$124,'Import Ready'!F112)&gt;1,"Duplicate email","OK"))</x:f>
        <x:v>OK</x:v>
      </x:c>
      <x:c r="F112" s="88" t="str">
        <x:f>IF('Import Ready'!G112="","Not checked",IF(OR(LEN('Import Ready'!G112)&lt;10,LEN('Import Ready'!G112)&gt;22),"Check phone length","OK"))</x:f>
        <x:v>OK</x:v>
      </x:c>
      <x:c r="G112" s="88" t="str">
        <x:f>IF('Import Ready'!G112="","Not checked",IF(COUNTIF('Import Ready'!$G$5:$G$124,'Import Ready'!G112)&gt;1,"Duplicate phone","OK"))</x:f>
        <x:v>OK</x:v>
      </x:c>
      <x:c r="H112" s="88" t="str">
        <x:f>IF(COUNTIF('Field Rules'!$F$5:$F$9,'Import Ready'!H112)=0,"Check country",IF(COUNTIF('Field Rules'!$G$5:$G$9,'Import Ready'!I112)=0,"Check territory",IF(COUNTIF('Field Rules'!$H$5:$H$9,'Import Ready'!J112)=0,"Check lead source",IF(COUNTIF('Field Rules'!$I$5:$I$9,'Import Ready'!K112)=0,"Check segment",IF(COUNTIF('Field Rules'!$J$5:$J$7,'Import Ready'!L112)=0,"Check account status","OK")))))</x:f>
        <x:v>Check territory</x:v>
      </x:c>
      <x:c r="I112" s="89" t="str">
        <x:f>IF(B112&lt;&gt;"OK",B112,IF(D112&lt;&gt;"OK",D112,IF(C112&lt;&gt;"OK",C112,IF(E112&lt;&gt;"OK",E112,IF(F112&lt;&gt;"OK",F112,IF(G112&lt;&gt;"OK",G112,IF(H112&lt;&gt;"OK",H112,"Ready")))))))</x:f>
        <x:v>Check territory</x:v>
      </x:c>
    </x:row>
    <x:row r="113" ht="21" customHeight="1">
      <x:c r="A113" s="84" t="str">
        <x:f>'Import Ready'!A113</x:f>
        <x:v>C-2109</x:v>
      </x:c>
      <x:c r="B113" s="85" t="str">
        <x:f>IF(OR('Import Ready'!A113="",'Import Ready'!B113="",'Import Ready'!C113="",'Import Ready'!E113="",'Import Ready'!F113="",'Import Ready'!G113="",'Import Ready'!H113="",'Import Ready'!I113="",'Import Ready'!J113="",'Import Ready'!K113="",'Import Ready'!L113="",'Import Ready'!M113="",'Entry Queue'!N113=""),"Missing required field","OK")</x:f>
        <x:v>OK</x:v>
      </x:c>
      <x:c r="C113" s="85" t="str">
        <x:f>IF('Import Ready'!F113="","Not checked",IF(OR(IFERROR(FIND("@",'Import Ready'!F113),0)=0,IFERROR(FIND(".",'Import Ready'!F113,FIND("@",'Import Ready'!F113)+2),0)=0),"Check email","OK"))</x:f>
        <x:v>OK</x:v>
      </x:c>
      <x:c r="D113" s="85" t="str">
        <x:f>IF(A113="","Not checked",IF(COUNTIF($A$5:$A$124,A113)&gt;1,"Duplicate record ID","OK"))</x:f>
        <x:v>OK</x:v>
      </x:c>
      <x:c r="E113" s="85" t="str">
        <x:f>IF('Import Ready'!F113="","Not checked",IF(COUNTIF('Import Ready'!$F$5:$F$124,'Import Ready'!F113)&gt;1,"Duplicate email","OK"))</x:f>
        <x:v>OK</x:v>
      </x:c>
      <x:c r="F113" s="85" t="str">
        <x:f>IF('Import Ready'!G113="","Not checked",IF(OR(LEN('Import Ready'!G113)&lt;10,LEN('Import Ready'!G113)&gt;22),"Check phone length","OK"))</x:f>
        <x:v>OK</x:v>
      </x:c>
      <x:c r="G113" s="85" t="str">
        <x:f>IF('Import Ready'!G113="","Not checked",IF(COUNTIF('Import Ready'!$G$5:$G$124,'Import Ready'!G113)&gt;1,"Duplicate phone","OK"))</x:f>
        <x:v>OK</x:v>
      </x:c>
      <x:c r="H113" s="85" t="str">
        <x:f>IF(COUNTIF('Field Rules'!$F$5:$F$9,'Import Ready'!H113)=0,"Check country",IF(COUNTIF('Field Rules'!$G$5:$G$9,'Import Ready'!I113)=0,"Check territory",IF(COUNTIF('Field Rules'!$H$5:$H$9,'Import Ready'!J113)=0,"Check lead source",IF(COUNTIF('Field Rules'!$I$5:$I$9,'Import Ready'!K113)=0,"Check segment",IF(COUNTIF('Field Rules'!$J$5:$J$7,'Import Ready'!L113)=0,"Check account status","OK")))))</x:f>
        <x:v>OK</x:v>
      </x:c>
      <x:c r="I113" s="86" t="str">
        <x:f>IF(B113&lt;&gt;"OK",B113,IF(D113&lt;&gt;"OK",D113,IF(C113&lt;&gt;"OK",C113,IF(E113&lt;&gt;"OK",E113,IF(F113&lt;&gt;"OK",F113,IF(G113&lt;&gt;"OK",G113,IF(H113&lt;&gt;"OK",H113,"Ready")))))))</x:f>
        <x:v>Ready</x:v>
      </x:c>
    </x:row>
    <x:row r="114" ht="21" customHeight="1">
      <x:c r="A114" s="87" t="str">
        <x:f>'Import Ready'!A114</x:f>
        <x:v>C-2110</x:v>
      </x:c>
      <x:c r="B114" s="88" t="str">
        <x:f>IF(OR('Import Ready'!A114="",'Import Ready'!B114="",'Import Ready'!C114="",'Import Ready'!E114="",'Import Ready'!F114="",'Import Ready'!G114="",'Import Ready'!H114="",'Import Ready'!I114="",'Import Ready'!J114="",'Import Ready'!K114="",'Import Ready'!L114="",'Import Ready'!M114="",'Entry Queue'!N114=""),"Missing required field","OK")</x:f>
        <x:v>OK</x:v>
      </x:c>
      <x:c r="C114" s="88" t="str">
        <x:f>IF('Import Ready'!F114="","Not checked",IF(OR(IFERROR(FIND("@",'Import Ready'!F114),0)=0,IFERROR(FIND(".",'Import Ready'!F114,FIND("@",'Import Ready'!F114)+2),0)=0),"Check email","OK"))</x:f>
        <x:v>OK</x:v>
      </x:c>
      <x:c r="D114" s="88" t="str">
        <x:f>IF(A114="","Not checked",IF(COUNTIF($A$5:$A$124,A114)&gt;1,"Duplicate record ID","OK"))</x:f>
        <x:v>OK</x:v>
      </x:c>
      <x:c r="E114" s="88" t="str">
        <x:f>IF('Import Ready'!F114="","Not checked",IF(COUNTIF('Import Ready'!$F$5:$F$124,'Import Ready'!F114)&gt;1,"Duplicate email","OK"))</x:f>
        <x:v>OK</x:v>
      </x:c>
      <x:c r="F114" s="88" t="str">
        <x:f>IF('Import Ready'!G114="","Not checked",IF(OR(LEN('Import Ready'!G114)&lt;10,LEN('Import Ready'!G114)&gt;22),"Check phone length","OK"))</x:f>
        <x:v>OK</x:v>
      </x:c>
      <x:c r="G114" s="88" t="str">
        <x:f>IF('Import Ready'!G114="","Not checked",IF(COUNTIF('Import Ready'!$G$5:$G$124,'Import Ready'!G114)&gt;1,"Duplicate phone","OK"))</x:f>
        <x:v>OK</x:v>
      </x:c>
      <x:c r="H114" s="88" t="str">
        <x:f>IF(COUNTIF('Field Rules'!$F$5:$F$9,'Import Ready'!H114)=0,"Check country",IF(COUNTIF('Field Rules'!$G$5:$G$9,'Import Ready'!I114)=0,"Check territory",IF(COUNTIF('Field Rules'!$H$5:$H$9,'Import Ready'!J114)=0,"Check lead source",IF(COUNTIF('Field Rules'!$I$5:$I$9,'Import Ready'!K114)=0,"Check segment",IF(COUNTIF('Field Rules'!$J$5:$J$7,'Import Ready'!L114)=0,"Check account status","OK")))))</x:f>
        <x:v>OK</x:v>
      </x:c>
      <x:c r="I114" s="89" t="str">
        <x:f>IF(B114&lt;&gt;"OK",B114,IF(D114&lt;&gt;"OK",D114,IF(C114&lt;&gt;"OK",C114,IF(E114&lt;&gt;"OK",E114,IF(F114&lt;&gt;"OK",F114,IF(G114&lt;&gt;"OK",G114,IF(H114&lt;&gt;"OK",H114,"Ready")))))))</x:f>
        <x:v>Ready</x:v>
      </x:c>
    </x:row>
    <x:row r="115" ht="21" customHeight="1">
      <x:c r="A115" s="84" t="str">
        <x:f>'Import Ready'!A115</x:f>
        <x:v>C-2111</x:v>
      </x:c>
      <x:c r="B115" s="85" t="str">
        <x:f>IF(OR('Import Ready'!A115="",'Import Ready'!B115="",'Import Ready'!C115="",'Import Ready'!E115="",'Import Ready'!F115="",'Import Ready'!G115="",'Import Ready'!H115="",'Import Ready'!I115="",'Import Ready'!J115="",'Import Ready'!K115="",'Import Ready'!L115="",'Import Ready'!M115="",'Entry Queue'!N115=""),"Missing required field","OK")</x:f>
        <x:v>OK</x:v>
      </x:c>
      <x:c r="C115" s="85" t="str">
        <x:f>IF('Import Ready'!F115="","Not checked",IF(OR(IFERROR(FIND("@",'Import Ready'!F115),0)=0,IFERROR(FIND(".",'Import Ready'!F115,FIND("@",'Import Ready'!F115)+2),0)=0),"Check email","OK"))</x:f>
        <x:v>OK</x:v>
      </x:c>
      <x:c r="D115" s="85" t="str">
        <x:f>IF(A115="","Not checked",IF(COUNTIF($A$5:$A$124,A115)&gt;1,"Duplicate record ID","OK"))</x:f>
        <x:v>OK</x:v>
      </x:c>
      <x:c r="E115" s="85" t="str">
        <x:f>IF('Import Ready'!F115="","Not checked",IF(COUNTIF('Import Ready'!$F$5:$F$124,'Import Ready'!F115)&gt;1,"Duplicate email","OK"))</x:f>
        <x:v>OK</x:v>
      </x:c>
      <x:c r="F115" s="85" t="str">
        <x:f>IF('Import Ready'!G115="","Not checked",IF(OR(LEN('Import Ready'!G115)&lt;10,LEN('Import Ready'!G115)&gt;22),"Check phone length","OK"))</x:f>
        <x:v>OK</x:v>
      </x:c>
      <x:c r="G115" s="85" t="str">
        <x:f>IF('Import Ready'!G115="","Not checked",IF(COUNTIF('Import Ready'!$G$5:$G$124,'Import Ready'!G115)&gt;1,"Duplicate phone","OK"))</x:f>
        <x:v>OK</x:v>
      </x:c>
      <x:c r="H115" s="85" t="str">
        <x:f>IF(COUNTIF('Field Rules'!$F$5:$F$9,'Import Ready'!H115)=0,"Check country",IF(COUNTIF('Field Rules'!$G$5:$G$9,'Import Ready'!I115)=0,"Check territory",IF(COUNTIF('Field Rules'!$H$5:$H$9,'Import Ready'!J115)=0,"Check lead source",IF(COUNTIF('Field Rules'!$I$5:$I$9,'Import Ready'!K115)=0,"Check segment",IF(COUNTIF('Field Rules'!$J$5:$J$7,'Import Ready'!L115)=0,"Check account status","OK")))))</x:f>
        <x:v>OK</x:v>
      </x:c>
      <x:c r="I115" s="86" t="str">
        <x:f>IF(B115&lt;&gt;"OK",B115,IF(D115&lt;&gt;"OK",D115,IF(C115&lt;&gt;"OK",C115,IF(E115&lt;&gt;"OK",E115,IF(F115&lt;&gt;"OK",F115,IF(G115&lt;&gt;"OK",G115,IF(H115&lt;&gt;"OK",H115,"Ready")))))))</x:f>
        <x:v>Ready</x:v>
      </x:c>
    </x:row>
    <x:row r="116" ht="21" customHeight="1">
      <x:c r="A116" s="87" t="str">
        <x:f>'Import Ready'!A116</x:f>
        <x:v>C-2112</x:v>
      </x:c>
      <x:c r="B116" s="88" t="str">
        <x:f>IF(OR('Import Ready'!A116="",'Import Ready'!B116="",'Import Ready'!C116="",'Import Ready'!E116="",'Import Ready'!F116="",'Import Ready'!G116="",'Import Ready'!H116="",'Import Ready'!I116="",'Import Ready'!J116="",'Import Ready'!K116="",'Import Ready'!L116="",'Import Ready'!M116="",'Entry Queue'!N116=""),"Missing required field","OK")</x:f>
        <x:v>OK</x:v>
      </x:c>
      <x:c r="C116" s="88" t="str">
        <x:f>IF('Import Ready'!F116="","Not checked",IF(OR(IFERROR(FIND("@",'Import Ready'!F116),0)=0,IFERROR(FIND(".",'Import Ready'!F116,FIND("@",'Import Ready'!F116)+2),0)=0),"Check email","OK"))</x:f>
        <x:v>OK</x:v>
      </x:c>
      <x:c r="D116" s="88" t="str">
        <x:f>IF(A116="","Not checked",IF(COUNTIF($A$5:$A$124,A116)&gt;1,"Duplicate record ID","OK"))</x:f>
        <x:v>OK</x:v>
      </x:c>
      <x:c r="E116" s="88" t="str">
        <x:f>IF('Import Ready'!F116="","Not checked",IF(COUNTIF('Import Ready'!$F$5:$F$124,'Import Ready'!F116)&gt;1,"Duplicate email","OK"))</x:f>
        <x:v>OK</x:v>
      </x:c>
      <x:c r="F116" s="88" t="str">
        <x:f>IF('Import Ready'!G116="","Not checked",IF(OR(LEN('Import Ready'!G116)&lt;10,LEN('Import Ready'!G116)&gt;22),"Check phone length","OK"))</x:f>
        <x:v>OK</x:v>
      </x:c>
      <x:c r="G116" s="88" t="str">
        <x:f>IF('Import Ready'!G116="","Not checked",IF(COUNTIF('Import Ready'!$G$5:$G$124,'Import Ready'!G116)&gt;1,"Duplicate phone","OK"))</x:f>
        <x:v>OK</x:v>
      </x:c>
      <x:c r="H116" s="88" t="str">
        <x:f>IF(COUNTIF('Field Rules'!$F$5:$F$9,'Import Ready'!H116)=0,"Check country",IF(COUNTIF('Field Rules'!$G$5:$G$9,'Import Ready'!I116)=0,"Check territory",IF(COUNTIF('Field Rules'!$H$5:$H$9,'Import Ready'!J116)=0,"Check lead source",IF(COUNTIF('Field Rules'!$I$5:$I$9,'Import Ready'!K116)=0,"Check segment",IF(COUNTIF('Field Rules'!$J$5:$J$7,'Import Ready'!L116)=0,"Check account status","OK")))))</x:f>
        <x:v>OK</x:v>
      </x:c>
      <x:c r="I116" s="89" t="str">
        <x:f>IF(B116&lt;&gt;"OK",B116,IF(D116&lt;&gt;"OK",D116,IF(C116&lt;&gt;"OK",C116,IF(E116&lt;&gt;"OK",E116,IF(F116&lt;&gt;"OK",F116,IF(G116&lt;&gt;"OK",G116,IF(H116&lt;&gt;"OK",H116,"Ready")))))))</x:f>
        <x:v>Ready</x:v>
      </x:c>
    </x:row>
    <x:row r="117" ht="21" customHeight="1">
      <x:c r="A117" s="84" t="str">
        <x:f>'Import Ready'!A117</x:f>
        <x:v>C-2113</x:v>
      </x:c>
      <x:c r="B117" s="85" t="str">
        <x:f>IF(OR('Import Ready'!A117="",'Import Ready'!B117="",'Import Ready'!C117="",'Import Ready'!E117="",'Import Ready'!F117="",'Import Ready'!G117="",'Import Ready'!H117="",'Import Ready'!I117="",'Import Ready'!J117="",'Import Ready'!K117="",'Import Ready'!L117="",'Import Ready'!M117="",'Entry Queue'!N117=""),"Missing required field","OK")</x:f>
        <x:v>OK</x:v>
      </x:c>
      <x:c r="C117" s="85" t="str">
        <x:f>IF('Import Ready'!F117="","Not checked",IF(OR(IFERROR(FIND("@",'Import Ready'!F117),0)=0,IFERROR(FIND(".",'Import Ready'!F117,FIND("@",'Import Ready'!F117)+2),0)=0),"Check email","OK"))</x:f>
        <x:v>OK</x:v>
      </x:c>
      <x:c r="D117" s="85" t="str">
        <x:f>IF(A117="","Not checked",IF(COUNTIF($A$5:$A$124,A117)&gt;1,"Duplicate record ID","OK"))</x:f>
        <x:v>OK</x:v>
      </x:c>
      <x:c r="E117" s="85" t="str">
        <x:f>IF('Import Ready'!F117="","Not checked",IF(COUNTIF('Import Ready'!$F$5:$F$124,'Import Ready'!F117)&gt;1,"Duplicate email","OK"))</x:f>
        <x:v>OK</x:v>
      </x:c>
      <x:c r="F117" s="85" t="str">
        <x:f>IF('Import Ready'!G117="","Not checked",IF(OR(LEN('Import Ready'!G117)&lt;10,LEN('Import Ready'!G117)&gt;22),"Check phone length","OK"))</x:f>
        <x:v>OK</x:v>
      </x:c>
      <x:c r="G117" s="85" t="str">
        <x:f>IF('Import Ready'!G117="","Not checked",IF(COUNTIF('Import Ready'!$G$5:$G$124,'Import Ready'!G117)&gt;1,"Duplicate phone","OK"))</x:f>
        <x:v>OK</x:v>
      </x:c>
      <x:c r="H117" s="85" t="str">
        <x:f>IF(COUNTIF('Field Rules'!$F$5:$F$9,'Import Ready'!H117)=0,"Check country",IF(COUNTIF('Field Rules'!$G$5:$G$9,'Import Ready'!I117)=0,"Check territory",IF(COUNTIF('Field Rules'!$H$5:$H$9,'Import Ready'!J117)=0,"Check lead source",IF(COUNTIF('Field Rules'!$I$5:$I$9,'Import Ready'!K117)=0,"Check segment",IF(COUNTIF('Field Rules'!$J$5:$J$7,'Import Ready'!L117)=0,"Check account status","OK")))))</x:f>
        <x:v>OK</x:v>
      </x:c>
      <x:c r="I117" s="86" t="str">
        <x:f>IF(B117&lt;&gt;"OK",B117,IF(D117&lt;&gt;"OK",D117,IF(C117&lt;&gt;"OK",C117,IF(E117&lt;&gt;"OK",E117,IF(F117&lt;&gt;"OK",F117,IF(G117&lt;&gt;"OK",G117,IF(H117&lt;&gt;"OK",H117,"Ready")))))))</x:f>
        <x:v>Ready</x:v>
      </x:c>
    </x:row>
    <x:row r="118" ht="21" customHeight="1">
      <x:c r="A118" s="87" t="str">
        <x:f>'Import Ready'!A118</x:f>
        <x:v>C-2114</x:v>
      </x:c>
      <x:c r="B118" s="88" t="str">
        <x:f>IF(OR('Import Ready'!A118="",'Import Ready'!B118="",'Import Ready'!C118="",'Import Ready'!E118="",'Import Ready'!F118="",'Import Ready'!G118="",'Import Ready'!H118="",'Import Ready'!I118="",'Import Ready'!J118="",'Import Ready'!K118="",'Import Ready'!L118="",'Import Ready'!M118="",'Entry Queue'!N118=""),"Missing required field","OK")</x:f>
        <x:v>Missing required field</x:v>
      </x:c>
      <x:c r="C118" s="88" t="str">
        <x:f>IF('Import Ready'!F118="","Not checked",IF(OR(IFERROR(FIND("@",'Import Ready'!F118),0)=0,IFERROR(FIND(".",'Import Ready'!F118,FIND("@",'Import Ready'!F118)+2),0)=0),"Check email","OK"))</x:f>
        <x:v>OK</x:v>
      </x:c>
      <x:c r="D118" s="88" t="str">
        <x:f>IF(A118="","Not checked",IF(COUNTIF($A$5:$A$124,A118)&gt;1,"Duplicate record ID","OK"))</x:f>
        <x:v>OK</x:v>
      </x:c>
      <x:c r="E118" s="88" t="str">
        <x:f>IF('Import Ready'!F118="","Not checked",IF(COUNTIF('Import Ready'!$F$5:$F$124,'Import Ready'!F118)&gt;1,"Duplicate email","OK"))</x:f>
        <x:v>OK</x:v>
      </x:c>
      <x:c r="F118" s="88" t="str">
        <x:f>IF('Import Ready'!G118="","Not checked",IF(OR(LEN('Import Ready'!G118)&lt;10,LEN('Import Ready'!G118)&gt;22),"Check phone length","OK"))</x:f>
        <x:v>OK</x:v>
      </x:c>
      <x:c r="G118" s="88" t="str">
        <x:f>IF('Import Ready'!G118="","Not checked",IF(COUNTIF('Import Ready'!$G$5:$G$124,'Import Ready'!G118)&gt;1,"Duplicate phone","OK"))</x:f>
        <x:v>OK</x:v>
      </x:c>
      <x:c r="H118" s="88" t="str">
        <x:f>IF(COUNTIF('Field Rules'!$F$5:$F$9,'Import Ready'!H118)=0,"Check country",IF(COUNTIF('Field Rules'!$G$5:$G$9,'Import Ready'!I118)=0,"Check territory",IF(COUNTIF('Field Rules'!$H$5:$H$9,'Import Ready'!J118)=0,"Check lead source",IF(COUNTIF('Field Rules'!$I$5:$I$9,'Import Ready'!K118)=0,"Check segment",IF(COUNTIF('Field Rules'!$J$5:$J$7,'Import Ready'!L118)=0,"Check account status","OK")))))</x:f>
        <x:v>OK</x:v>
      </x:c>
      <x:c r="I118" s="89" t="str">
        <x:f>IF(B118&lt;&gt;"OK",B118,IF(D118&lt;&gt;"OK",D118,IF(C118&lt;&gt;"OK",C118,IF(E118&lt;&gt;"OK",E118,IF(F118&lt;&gt;"OK",F118,IF(G118&lt;&gt;"OK",G118,IF(H118&lt;&gt;"OK",H118,"Ready")))))))</x:f>
        <x:v>Missing required field</x:v>
      </x:c>
    </x:row>
    <x:row r="119" ht="21" customHeight="1">
      <x:c r="A119" s="84" t="str">
        <x:f>'Import Ready'!A119</x:f>
        <x:v>C-2115</x:v>
      </x:c>
      <x:c r="B119" s="85" t="str">
        <x:f>IF(OR('Import Ready'!A119="",'Import Ready'!B119="",'Import Ready'!C119="",'Import Ready'!E119="",'Import Ready'!F119="",'Import Ready'!G119="",'Import Ready'!H119="",'Import Ready'!I119="",'Import Ready'!J119="",'Import Ready'!K119="",'Import Ready'!L119="",'Import Ready'!M119="",'Entry Queue'!N119=""),"Missing required field","OK")</x:f>
        <x:v>OK</x:v>
      </x:c>
      <x:c r="C119" s="85" t="str">
        <x:f>IF('Import Ready'!F119="","Not checked",IF(OR(IFERROR(FIND("@",'Import Ready'!F119),0)=0,IFERROR(FIND(".",'Import Ready'!F119,FIND("@",'Import Ready'!F119)+2),0)=0),"Check email","OK"))</x:f>
        <x:v>OK</x:v>
      </x:c>
      <x:c r="D119" s="85" t="str">
        <x:f>IF(A119="","Not checked",IF(COUNTIF($A$5:$A$124,A119)&gt;1,"Duplicate record ID","OK"))</x:f>
        <x:v>OK</x:v>
      </x:c>
      <x:c r="E119" s="85" t="str">
        <x:f>IF('Import Ready'!F119="","Not checked",IF(COUNTIF('Import Ready'!$F$5:$F$124,'Import Ready'!F119)&gt;1,"Duplicate email","OK"))</x:f>
        <x:v>OK</x:v>
      </x:c>
      <x:c r="F119" s="85" t="str">
        <x:f>IF('Import Ready'!G119="","Not checked",IF(OR(LEN('Import Ready'!G119)&lt;10,LEN('Import Ready'!G119)&gt;22),"Check phone length","OK"))</x:f>
        <x:v>OK</x:v>
      </x:c>
      <x:c r="G119" s="85" t="str">
        <x:f>IF('Import Ready'!G119="","Not checked",IF(COUNTIF('Import Ready'!$G$5:$G$124,'Import Ready'!G119)&gt;1,"Duplicate phone","OK"))</x:f>
        <x:v>OK</x:v>
      </x:c>
      <x:c r="H119" s="85" t="str">
        <x:f>IF(COUNTIF('Field Rules'!$F$5:$F$9,'Import Ready'!H119)=0,"Check country",IF(COUNTIF('Field Rules'!$G$5:$G$9,'Import Ready'!I119)=0,"Check territory",IF(COUNTIF('Field Rules'!$H$5:$H$9,'Import Ready'!J119)=0,"Check lead source",IF(COUNTIF('Field Rules'!$I$5:$I$9,'Import Ready'!K119)=0,"Check segment",IF(COUNTIF('Field Rules'!$J$5:$J$7,'Import Ready'!L119)=0,"Check account status","OK")))))</x:f>
        <x:v>OK</x:v>
      </x:c>
      <x:c r="I119" s="86" t="str">
        <x:f>IF(B119&lt;&gt;"OK",B119,IF(D119&lt;&gt;"OK",D119,IF(C119&lt;&gt;"OK",C119,IF(E119&lt;&gt;"OK",E119,IF(F119&lt;&gt;"OK",F119,IF(G119&lt;&gt;"OK",G119,IF(H119&lt;&gt;"OK",H119,"Ready")))))))</x:f>
        <x:v>Ready</x:v>
      </x:c>
    </x:row>
    <x:row r="120" ht="21" customHeight="1">
      <x:c r="A120" s="87" t="str">
        <x:f>'Import Ready'!A120</x:f>
        <x:v>C-2116</x:v>
      </x:c>
      <x:c r="B120" s="88" t="str">
        <x:f>IF(OR('Import Ready'!A120="",'Import Ready'!B120="",'Import Ready'!C120="",'Import Ready'!E120="",'Import Ready'!F120="",'Import Ready'!G120="",'Import Ready'!H120="",'Import Ready'!I120="",'Import Ready'!J120="",'Import Ready'!K120="",'Import Ready'!L120="",'Import Ready'!M120="",'Entry Queue'!N120=""),"Missing required field","OK")</x:f>
        <x:v>OK</x:v>
      </x:c>
      <x:c r="C120" s="88" t="str">
        <x:f>IF('Import Ready'!F120="","Not checked",IF(OR(IFERROR(FIND("@",'Import Ready'!F120),0)=0,IFERROR(FIND(".",'Import Ready'!F120,FIND("@",'Import Ready'!F120)+2),0)=0),"Check email","OK"))</x:f>
        <x:v>OK</x:v>
      </x:c>
      <x:c r="D120" s="88" t="str">
        <x:f>IF(A120="","Not checked",IF(COUNTIF($A$5:$A$124,A120)&gt;1,"Duplicate record ID","OK"))</x:f>
        <x:v>OK</x:v>
      </x:c>
      <x:c r="E120" s="88" t="str">
        <x:f>IF('Import Ready'!F120="","Not checked",IF(COUNTIF('Import Ready'!$F$5:$F$124,'Import Ready'!F120)&gt;1,"Duplicate email","OK"))</x:f>
        <x:v>OK</x:v>
      </x:c>
      <x:c r="F120" s="88" t="str">
        <x:f>IF('Import Ready'!G120="","Not checked",IF(OR(LEN('Import Ready'!G120)&lt;10,LEN('Import Ready'!G120)&gt;22),"Check phone length","OK"))</x:f>
        <x:v>OK</x:v>
      </x:c>
      <x:c r="G120" s="88" t="str">
        <x:f>IF('Import Ready'!G120="","Not checked",IF(COUNTIF('Import Ready'!$G$5:$G$124,'Import Ready'!G120)&gt;1,"Duplicate phone","OK"))</x:f>
        <x:v>OK</x:v>
      </x:c>
      <x:c r="H120" s="88" t="str">
        <x:f>IF(COUNTIF('Field Rules'!$F$5:$F$9,'Import Ready'!H120)=0,"Check country",IF(COUNTIF('Field Rules'!$G$5:$G$9,'Import Ready'!I120)=0,"Check territory",IF(COUNTIF('Field Rules'!$H$5:$H$9,'Import Ready'!J120)=0,"Check lead source",IF(COUNTIF('Field Rules'!$I$5:$I$9,'Import Ready'!K120)=0,"Check segment",IF(COUNTIF('Field Rules'!$J$5:$J$7,'Import Ready'!L120)=0,"Check account status","OK")))))</x:f>
        <x:v>OK</x:v>
      </x:c>
      <x:c r="I120" s="89" t="str">
        <x:f>IF(B120&lt;&gt;"OK",B120,IF(D120&lt;&gt;"OK",D120,IF(C120&lt;&gt;"OK",C120,IF(E120&lt;&gt;"OK",E120,IF(F120&lt;&gt;"OK",F120,IF(G120&lt;&gt;"OK",G120,IF(H120&lt;&gt;"OK",H120,"Ready")))))))</x:f>
        <x:v>Ready</x:v>
      </x:c>
    </x:row>
    <x:row r="121" ht="21" customHeight="1">
      <x:c r="A121" s="84" t="str">
        <x:f>'Import Ready'!A121</x:f>
        <x:v>C-2117</x:v>
      </x:c>
      <x:c r="B121" s="85" t="str">
        <x:f>IF(OR('Import Ready'!A121="",'Import Ready'!B121="",'Import Ready'!C121="",'Import Ready'!E121="",'Import Ready'!F121="",'Import Ready'!G121="",'Import Ready'!H121="",'Import Ready'!I121="",'Import Ready'!J121="",'Import Ready'!K121="",'Import Ready'!L121="",'Import Ready'!M121="",'Entry Queue'!N121=""),"Missing required field","OK")</x:f>
        <x:v>OK</x:v>
      </x:c>
      <x:c r="C121" s="85" t="str">
        <x:f>IF('Import Ready'!F121="","Not checked",IF(OR(IFERROR(FIND("@",'Import Ready'!F121),0)=0,IFERROR(FIND(".",'Import Ready'!F121,FIND("@",'Import Ready'!F121)+2),0)=0),"Check email","OK"))</x:f>
        <x:v>OK</x:v>
      </x:c>
      <x:c r="D121" s="85" t="str">
        <x:f>IF(A121="","Not checked",IF(COUNTIF($A$5:$A$124,A121)&gt;1,"Duplicate record ID","OK"))</x:f>
        <x:v>OK</x:v>
      </x:c>
      <x:c r="E121" s="85" t="str">
        <x:f>IF('Import Ready'!F121="","Not checked",IF(COUNTIF('Import Ready'!$F$5:$F$124,'Import Ready'!F121)&gt;1,"Duplicate email","OK"))</x:f>
        <x:v>OK</x:v>
      </x:c>
      <x:c r="F121" s="85" t="str">
        <x:f>IF('Import Ready'!G121="","Not checked",IF(OR(LEN('Import Ready'!G121)&lt;10,LEN('Import Ready'!G121)&gt;22),"Check phone length","OK"))</x:f>
        <x:v>OK</x:v>
      </x:c>
      <x:c r="G121" s="85" t="str">
        <x:f>IF('Import Ready'!G121="","Not checked",IF(COUNTIF('Import Ready'!$G$5:$G$124,'Import Ready'!G121)&gt;1,"Duplicate phone","OK"))</x:f>
        <x:v>OK</x:v>
      </x:c>
      <x:c r="H121" s="85" t="str">
        <x:f>IF(COUNTIF('Field Rules'!$F$5:$F$9,'Import Ready'!H121)=0,"Check country",IF(COUNTIF('Field Rules'!$G$5:$G$9,'Import Ready'!I121)=0,"Check territory",IF(COUNTIF('Field Rules'!$H$5:$H$9,'Import Ready'!J121)=0,"Check lead source",IF(COUNTIF('Field Rules'!$I$5:$I$9,'Import Ready'!K121)=0,"Check segment",IF(COUNTIF('Field Rules'!$J$5:$J$7,'Import Ready'!L121)=0,"Check account status","OK")))))</x:f>
        <x:v>OK</x:v>
      </x:c>
      <x:c r="I121" s="86" t="str">
        <x:f>IF(B121&lt;&gt;"OK",B121,IF(D121&lt;&gt;"OK",D121,IF(C121&lt;&gt;"OK",C121,IF(E121&lt;&gt;"OK",E121,IF(F121&lt;&gt;"OK",F121,IF(G121&lt;&gt;"OK",G121,IF(H121&lt;&gt;"OK",H121,"Ready")))))))</x:f>
        <x:v>Ready</x:v>
      </x:c>
    </x:row>
    <x:row r="122" ht="21" customHeight="1">
      <x:c r="A122" s="87" t="str">
        <x:f>'Import Ready'!A122</x:f>
        <x:v>C-2118</x:v>
      </x:c>
      <x:c r="B122" s="88" t="str">
        <x:f>IF(OR('Import Ready'!A122="",'Import Ready'!B122="",'Import Ready'!C122="",'Import Ready'!E122="",'Import Ready'!F122="",'Import Ready'!G122="",'Import Ready'!H122="",'Import Ready'!I122="",'Import Ready'!J122="",'Import Ready'!K122="",'Import Ready'!L122="",'Import Ready'!M122="",'Entry Queue'!N122=""),"Missing required field","OK")</x:f>
        <x:v>OK</x:v>
      </x:c>
      <x:c r="C122" s="88" t="str">
        <x:f>IF('Import Ready'!F122="","Not checked",IF(OR(IFERROR(FIND("@",'Import Ready'!F122),0)=0,IFERROR(FIND(".",'Import Ready'!F122,FIND("@",'Import Ready'!F122)+2),0)=0),"Check email","OK"))</x:f>
        <x:v>OK</x:v>
      </x:c>
      <x:c r="D122" s="88" t="str">
        <x:f>IF(A122="","Not checked",IF(COUNTIF($A$5:$A$124,A122)&gt;1,"Duplicate record ID","OK"))</x:f>
        <x:v>OK</x:v>
      </x:c>
      <x:c r="E122" s="88" t="str">
        <x:f>IF('Import Ready'!F122="","Not checked",IF(COUNTIF('Import Ready'!$F$5:$F$124,'Import Ready'!F122)&gt;1,"Duplicate email","OK"))</x:f>
        <x:v>OK</x:v>
      </x:c>
      <x:c r="F122" s="88" t="str">
        <x:f>IF('Import Ready'!G122="","Not checked",IF(OR(LEN('Import Ready'!G122)&lt;10,LEN('Import Ready'!G122)&gt;22),"Check phone length","OK"))</x:f>
        <x:v>OK</x:v>
      </x:c>
      <x:c r="G122" s="88" t="str">
        <x:f>IF('Import Ready'!G122="","Not checked",IF(COUNTIF('Import Ready'!$G$5:$G$124,'Import Ready'!G122)&gt;1,"Duplicate phone","OK"))</x:f>
        <x:v>OK</x:v>
      </x:c>
      <x:c r="H122" s="88" t="str">
        <x:f>IF(COUNTIF('Field Rules'!$F$5:$F$9,'Import Ready'!H122)=0,"Check country",IF(COUNTIF('Field Rules'!$G$5:$G$9,'Import Ready'!I122)=0,"Check territory",IF(COUNTIF('Field Rules'!$H$5:$H$9,'Import Ready'!J122)=0,"Check lead source",IF(COUNTIF('Field Rules'!$I$5:$I$9,'Import Ready'!K122)=0,"Check segment",IF(COUNTIF('Field Rules'!$J$5:$J$7,'Import Ready'!L122)=0,"Check account status","OK")))))</x:f>
        <x:v>OK</x:v>
      </x:c>
      <x:c r="I122" s="89" t="str">
        <x:f>IF(B122&lt;&gt;"OK",B122,IF(D122&lt;&gt;"OK",D122,IF(C122&lt;&gt;"OK",C122,IF(E122&lt;&gt;"OK",E122,IF(F122&lt;&gt;"OK",F122,IF(G122&lt;&gt;"OK",G122,IF(H122&lt;&gt;"OK",H122,"Ready")))))))</x:f>
        <x:v>Ready</x:v>
      </x:c>
    </x:row>
    <x:row r="123" ht="21" customHeight="1">
      <x:c r="A123" s="84" t="str">
        <x:f>'Import Ready'!A123</x:f>
        <x:v>C-2119</x:v>
      </x:c>
      <x:c r="B123" s="85" t="str">
        <x:f>IF(OR('Import Ready'!A123="",'Import Ready'!B123="",'Import Ready'!C123="",'Import Ready'!E123="",'Import Ready'!F123="",'Import Ready'!G123="",'Import Ready'!H123="",'Import Ready'!I123="",'Import Ready'!J123="",'Import Ready'!K123="",'Import Ready'!L123="",'Import Ready'!M123="",'Entry Queue'!N123=""),"Missing required field","OK")</x:f>
        <x:v>OK</x:v>
      </x:c>
      <x:c r="C123" s="85" t="str">
        <x:f>IF('Import Ready'!F123="","Not checked",IF(OR(IFERROR(FIND("@",'Import Ready'!F123),0)=0,IFERROR(FIND(".",'Import Ready'!F123,FIND("@",'Import Ready'!F123)+2),0)=0),"Check email","OK"))</x:f>
        <x:v>OK</x:v>
      </x:c>
      <x:c r="D123" s="85" t="str">
        <x:f>IF(A123="","Not checked",IF(COUNTIF($A$5:$A$124,A123)&gt;1,"Duplicate record ID","OK"))</x:f>
        <x:v>OK</x:v>
      </x:c>
      <x:c r="E123" s="85" t="str">
        <x:f>IF('Import Ready'!F123="","Not checked",IF(COUNTIF('Import Ready'!$F$5:$F$124,'Import Ready'!F123)&gt;1,"Duplicate email","OK"))</x:f>
        <x:v>OK</x:v>
      </x:c>
      <x:c r="F123" s="85" t="str">
        <x:f>IF('Import Ready'!G123="","Not checked",IF(OR(LEN('Import Ready'!G123)&lt;10,LEN('Import Ready'!G123)&gt;22),"Check phone length","OK"))</x:f>
        <x:v>OK</x:v>
      </x:c>
      <x:c r="G123" s="85" t="str">
        <x:f>IF('Import Ready'!G123="","Not checked",IF(COUNTIF('Import Ready'!$G$5:$G$124,'Import Ready'!G123)&gt;1,"Duplicate phone","OK"))</x:f>
        <x:v>OK</x:v>
      </x:c>
      <x:c r="H123" s="85" t="str">
        <x:f>IF(COUNTIF('Field Rules'!$F$5:$F$9,'Import Ready'!H123)=0,"Check country",IF(COUNTIF('Field Rules'!$G$5:$G$9,'Import Ready'!I123)=0,"Check territory",IF(COUNTIF('Field Rules'!$H$5:$H$9,'Import Ready'!J123)=0,"Check lead source",IF(COUNTIF('Field Rules'!$I$5:$I$9,'Import Ready'!K123)=0,"Check segment",IF(COUNTIF('Field Rules'!$J$5:$J$7,'Import Ready'!L123)=0,"Check account status","OK")))))</x:f>
        <x:v>OK</x:v>
      </x:c>
      <x:c r="I123" s="86" t="str">
        <x:f>IF(B123&lt;&gt;"OK",B123,IF(D123&lt;&gt;"OK",D123,IF(C123&lt;&gt;"OK",C123,IF(E123&lt;&gt;"OK",E123,IF(F123&lt;&gt;"OK",F123,IF(G123&lt;&gt;"OK",G123,IF(H123&lt;&gt;"OK",H123,"Ready")))))))</x:f>
        <x:v>Ready</x:v>
      </x:c>
    </x:row>
    <x:row r="124" ht="21" customHeight="1">
      <x:c r="A124" s="87" t="str">
        <x:f>'Import Ready'!A124</x:f>
        <x:v>C-2120</x:v>
      </x:c>
      <x:c r="B124" s="88" t="str">
        <x:f>IF(OR('Import Ready'!A124="",'Import Ready'!B124="",'Import Ready'!C124="",'Import Ready'!E124="",'Import Ready'!F124="",'Import Ready'!G124="",'Import Ready'!H124="",'Import Ready'!I124="",'Import Ready'!J124="",'Import Ready'!K124="",'Import Ready'!L124="",'Import Ready'!M124="",'Entry Queue'!N124=""),"Missing required field","OK")</x:f>
        <x:v>OK</x:v>
      </x:c>
      <x:c r="C124" s="88" t="str">
        <x:f>IF('Import Ready'!F124="","Not checked",IF(OR(IFERROR(FIND("@",'Import Ready'!F124),0)=0,IFERROR(FIND(".",'Import Ready'!F124,FIND("@",'Import Ready'!F124)+2),0)=0),"Check email","OK"))</x:f>
        <x:v>OK</x:v>
      </x:c>
      <x:c r="D124" s="88" t="str">
        <x:f>IF(A124="","Not checked",IF(COUNTIF($A$5:$A$124,A124)&gt;1,"Duplicate record ID","OK"))</x:f>
        <x:v>OK</x:v>
      </x:c>
      <x:c r="E124" s="88" t="str">
        <x:f>IF('Import Ready'!F124="","Not checked",IF(COUNTIF('Import Ready'!$F$5:$F$124,'Import Ready'!F124)&gt;1,"Duplicate email","OK"))</x:f>
        <x:v>OK</x:v>
      </x:c>
      <x:c r="F124" s="88" t="str">
        <x:f>IF('Import Ready'!G124="","Not checked",IF(OR(LEN('Import Ready'!G124)&lt;10,LEN('Import Ready'!G124)&gt;22),"Check phone length","OK"))</x:f>
        <x:v>OK</x:v>
      </x:c>
      <x:c r="G124" s="88" t="str">
        <x:f>IF('Import Ready'!G124="","Not checked",IF(COUNTIF('Import Ready'!$G$5:$G$124,'Import Ready'!G124)&gt;1,"Duplicate phone","OK"))</x:f>
        <x:v>OK</x:v>
      </x:c>
      <x:c r="H124" s="88" t="str">
        <x:f>IF(COUNTIF('Field Rules'!$F$5:$F$9,'Import Ready'!H124)=0,"Check country",IF(COUNTIF('Field Rules'!$G$5:$G$9,'Import Ready'!I124)=0,"Check territory",IF(COUNTIF('Field Rules'!$H$5:$H$9,'Import Ready'!J124)=0,"Check lead source",IF(COUNTIF('Field Rules'!$I$5:$I$9,'Import Ready'!K124)=0,"Check segment",IF(COUNTIF('Field Rules'!$J$5:$J$7,'Import Ready'!L124)=0,"Check account status","OK")))))</x:f>
        <x:v>OK</x:v>
      </x:c>
      <x:c r="I124" s="89" t="str">
        <x:f>IF(B124&lt;&gt;"OK",B124,IF(D124&lt;&gt;"OK",D124,IF(C124&lt;&gt;"OK",C124,IF(E124&lt;&gt;"OK",E124,IF(F124&lt;&gt;"OK",F124,IF(G124&lt;&gt;"OK",G124,IF(H124&lt;&gt;"OK",H124,"Ready")))))))</x:f>
        <x:v>Ready</x:v>
      </x:c>
    </x:row>
  </x:sheetData>
  <x:conditionalFormatting sqref="I5:I124">
    <x:cfRule type="containsText" dxfId="6" priority="1" operator="containsText" text="Ready"/>
    <x:cfRule type="containsText" dxfId="7" priority="2" operator="containsText" text="Eligible"/>
    <x:cfRule type="containsText" dxfId="8" priority="3" operator="containsText" text="Mismatch"/>
    <x:cfRule type="containsText" dxfId="9" priority="4" operator="containsText" text="Duplicate"/>
    <x:cfRule type="containsText" dxfId="10" priority="5" operator="containsText" text="Check"/>
    <x:cfRule type="containsText" dxfId="11" priority="6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9afee6657ba543dc"/>
  </x:tableParts>
</x:worksheet>
</file>

<file path=xl/worksheets/sheet5.xml><?xml version="1.0" encoding="utf-8"?>
<x:worksheet xmlns:x="http://schemas.openxmlformats.org/spreadsheetml/2006/main">
  <x:sheetPr>
    <x:tabColor rgb="FFA56B1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65" hidden="0" customWidth="1"/>
    <x:col min="4" max="4" width="39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7" customHeight="1">
      <x:c r="A1" s="90" t="str">
        <x:v>Customer field rules</x:v>
      </x:c>
      <x:c r="B1" s="90"/>
      <x:c r="C1" s="90"/>
      <x:c r="D1" s="90"/>
      <x:c r="E1" s="90"/>
      <x:c r="F1" s="90"/>
      <x:c r="G1" s="90"/>
      <x:c r="H1" s="90"/>
      <x:c r="I1" s="90"/>
      <x:c r="J1" s="90"/>
    </x:row>
    <x:row r="2" ht="24" customHeight="1">
      <x:c r="A2" s="16" t="str">
        <x:v>Required fields and reference values for the mock CRM intake process.</x:v>
      </x:c>
      <x:c r="B2" s="16"/>
      <x:c r="C2" s="16"/>
      <x:c r="D2" s="16"/>
    </x:row>
    <x:row r="4" ht="30" customHeight="1">
      <x:c r="A4" s="91" t="str">
        <x:v>Field</x:v>
      </x:c>
      <x:c r="B4" s="91" t="str">
        <x:v>Required</x:v>
      </x:c>
      <x:c r="C4" s="91" t="str">
        <x:v>Validation rule</x:v>
      </x:c>
      <x:c r="D4" s="91" t="str">
        <x:v>Example</x:v>
      </x:c>
      <x:c r="F4" s="92" t="str">
        <x:v>Country</x:v>
      </x:c>
      <x:c r="G4" s="93" t="str">
        <x:v>Territory</x:v>
      </x:c>
      <x:c r="H4" s="93" t="str">
        <x:v>Lead Source</x:v>
      </x:c>
      <x:c r="I4" s="93" t="str">
        <x:v>Customer Segment</x:v>
      </x:c>
      <x:c r="J4" s="94" t="str">
        <x:v>Account Status</x:v>
      </x:c>
    </x:row>
    <x:row r="5" ht="34" customHeight="1">
      <x:c r="A5" s="95" t="str">
        <x:v>Record ID</x:v>
      </x:c>
      <x:c r="B5" s="95" t="str">
        <x:v>Yes</x:v>
      </x:c>
      <x:c r="C5" s="95" t="str">
        <x:v>Unique identifier. Do not reuse an existing ID.</x:v>
      </x:c>
      <x:c r="D5" s="95" t="str">
        <x:v>C-2001</x:v>
      </x:c>
      <x:c r="F5" s="97" t="str">
        <x:v>United States</x:v>
      </x:c>
      <x:c r="G5" s="98" t="str">
        <x:v>North</x:v>
      </x:c>
      <x:c r="H5" s="98" t="str">
        <x:v>Website</x:v>
      </x:c>
      <x:c r="I5" s="98" t="str">
        <x:v>Small business</x:v>
      </x:c>
      <x:c r="J5" s="99" t="str">
        <x:v>Active</x:v>
      </x:c>
    </x:row>
    <x:row r="6" ht="34" customHeight="1">
      <x:c r="A6" s="96" t="str">
        <x:v>First Name</x:v>
      </x:c>
      <x:c r="B6" s="96" t="str">
        <x:v>Yes</x:v>
      </x:c>
      <x:c r="C6" s="96" t="str">
        <x:v>Trim spaces and use consistent name casing.</x:v>
      </x:c>
      <x:c r="D6" s="96" t="str">
        <x:v>Maya</x:v>
      </x:c>
      <x:c r="F6" s="100" t="str">
        <x:v>Canada</x:v>
      </x:c>
      <x:c r="G6" s="101" t="str">
        <x:v>South</x:v>
      </x:c>
      <x:c r="H6" s="101" t="str">
        <x:v>Referral</x:v>
      </x:c>
      <x:c r="I6" s="101" t="str">
        <x:v>Mid-market</x:v>
      </x:c>
      <x:c r="J6" s="102" t="str">
        <x:v>Prospect</x:v>
      </x:c>
    </x:row>
    <x:row r="7" ht="34" customHeight="1">
      <x:c r="A7" s="95" t="str">
        <x:v>Last Name</x:v>
      </x:c>
      <x:c r="B7" s="95" t="str">
        <x:v>Yes</x:v>
      </x:c>
      <x:c r="C7" s="95" t="str">
        <x:v>Trim spaces and use consistent name casing.</x:v>
      </x:c>
      <x:c r="D7" s="95" t="str">
        <x:v>Chen</x:v>
      </x:c>
      <x:c r="F7" s="97" t="str">
        <x:v>United Kingdom</x:v>
      </x:c>
      <x:c r="G7" s="98" t="str">
        <x:v>Central</x:v>
      </x:c>
      <x:c r="H7" s="98" t="str">
        <x:v>Trade show</x:v>
      </x:c>
      <x:c r="I7" s="98" t="str">
        <x:v>Enterprise</x:v>
      </x:c>
      <x:c r="J7" s="99" t="str">
        <x:v>Inactive</x:v>
      </x:c>
    </x:row>
    <x:row r="8" ht="34" customHeight="1">
      <x:c r="A8" s="96" t="str">
        <x:v>Organization</x:v>
      </x:c>
      <x:c r="B8" s="96" t="str">
        <x:v>Yes</x:v>
      </x:c>
      <x:c r="C8" s="96" t="str">
        <x:v>Trim spaces and use consistent title casing.</x:v>
      </x:c>
      <x:c r="D8" s="96" t="str">
        <x:v>Northstar Supply</x:v>
      </x:c>
      <x:c r="F8" s="100" t="str">
        <x:v>Australia</x:v>
      </x:c>
      <x:c r="G8" s="101" t="str">
        <x:v>West</x:v>
      </x:c>
      <x:c r="H8" s="101" t="str">
        <x:v>Outbound</x:v>
      </x:c>
      <x:c r="I8" s="101" t="str">
        <x:v>Nonprofit</x:v>
      </x:c>
      <x:c r="J8" s="102"/>
    </x:row>
    <x:row r="9" ht="34" customHeight="1">
      <x:c r="A9" s="95" t="str">
        <x:v>Email</x:v>
      </x:c>
      <x:c r="B9" s="95" t="str">
        <x:v>Yes</x:v>
      </x:c>
      <x:c r="C9" s="95" t="str">
        <x:v>Must contain @ and a period in the domain. Must be unique.</x:v>
      </x:c>
      <x:c r="D9" s="95" t="str">
        <x:v>maya.chen1000@northstarsupply.test</x:v>
      </x:c>
      <x:c r="F9" s="97" t="str">
        <x:v>India</x:v>
      </x:c>
      <x:c r="G9" s="98" t="str">
        <x:v>International</x:v>
      </x:c>
      <x:c r="H9" s="98" t="str">
        <x:v>Partner</x:v>
      </x:c>
      <x:c r="I9" s="98" t="str">
        <x:v>Education</x:v>
      </x:c>
      <x:c r="J9" s="99"/>
    </x:row>
    <x:row r="10" ht="34" customHeight="1">
      <x:c r="A10" s="96" t="str">
        <x:v>Phone</x:v>
      </x:c>
      <x:c r="B10" s="96" t="str">
        <x:v>Yes</x:v>
      </x:c>
      <x:c r="C10" s="96" t="str">
        <x:v>Keep country code when supplied. Ten to twenty-two characters including common punctuation.</x:v>
      </x:c>
      <x:c r="D10" s="96" t="str">
        <x:v>+1 (202) 555-1000</x:v>
      </x:c>
    </x:row>
    <x:row r="11" ht="34" customHeight="1">
      <x:c r="A11" s="95" t="str">
        <x:v>Country</x:v>
      </x:c>
      <x:c r="B11" s="95" t="str">
        <x:v>Yes</x:v>
      </x:c>
      <x:c r="C11" s="95" t="str">
        <x:v>Use an approved country label.</x:v>
      </x:c>
      <x:c r="D11" s="95" t="str">
        <x:v>United States</x:v>
      </x:c>
    </x:row>
    <x:row r="12" ht="34" customHeight="1">
      <x:c r="A12" s="96" t="str">
        <x:v>Territory</x:v>
      </x:c>
      <x:c r="B12" s="96" t="str">
        <x:v>Yes</x:v>
      </x:c>
      <x:c r="C12" s="96" t="str">
        <x:v>Select an approved sales territory.</x:v>
      </x:c>
      <x:c r="D12" s="96" t="str">
        <x:v>North</x:v>
      </x:c>
    </x:row>
    <x:row r="13" ht="34" customHeight="1">
      <x:c r="A13" s="95" t="str">
        <x:v>Lead Source</x:v>
      </x:c>
      <x:c r="B13" s="95" t="str">
        <x:v>Yes</x:v>
      </x:c>
      <x:c r="C13" s="95" t="str">
        <x:v>Select an approved source.</x:v>
      </x:c>
      <x:c r="D13" s="95" t="str">
        <x:v>Website</x:v>
      </x:c>
    </x:row>
    <x:row r="14" ht="34" customHeight="1">
      <x:c r="A14" s="96" t="str">
        <x:v>Customer Segment</x:v>
      </x:c>
      <x:c r="B14" s="96" t="str">
        <x:v>Yes</x:v>
      </x:c>
      <x:c r="C14" s="96" t="str">
        <x:v>Select an approved segment.</x:v>
      </x:c>
      <x:c r="D14" s="96" t="str">
        <x:v>Small business</x:v>
      </x:c>
    </x:row>
    <x:row r="15" ht="34" customHeight="1">
      <x:c r="A15" s="95" t="str">
        <x:v>Account Status</x:v>
      </x:c>
      <x:c r="B15" s="95" t="str">
        <x:v>Yes</x:v>
      </x:c>
      <x:c r="C15" s="95" t="str">
        <x:v>Select an approved status.</x:v>
      </x:c>
      <x:c r="D15" s="95" t="str">
        <x:v>Prospect</x:v>
      </x:c>
    </x:row>
    <x:row r="16" ht="34" customHeight="1">
      <x:c r="A16" s="96" t="str">
        <x:v>Date Added</x:v>
      </x:c>
      <x:c r="B16" s="96" t="str">
        <x:v>Yes</x:v>
      </x:c>
      <x:c r="C16" s="96" t="str">
        <x:v>Enter the source date as a real date.</x:v>
      </x:c>
      <x:c r="D16" s="96" t="str">
        <x:v>2026-09-01</x:v>
      </x:c>
    </x:row>
    <x:row r="17" ht="34" customHeight="1">
      <x:c r="A17" s="95" t="str">
        <x:v>Entered By</x:v>
      </x:c>
      <x:c r="B17" s="95" t="str">
        <x:v>Yes</x:v>
      </x:c>
      <x:c r="C17" s="95" t="str">
        <x:v>Identify the staff member who captured the source.</x:v>
      </x:c>
      <x:c r="D17" s="95" t="str">
        <x:v>A. Patel</x:v>
      </x:c>
    </x:row>
    <x:row r="18" ht="34" customHeight="1">
      <x:c r="A18" s="96" t="str">
        <x:v>Record Type</x:v>
      </x:c>
      <x:c r="B18" s="96" t="str">
        <x:v>Yes</x:v>
      </x:c>
      <x:c r="C18" s="96" t="str">
        <x:v>Select an approved record type.</x:v>
      </x:c>
      <x:c r="D18" s="96" t="str">
        <x:v>New lead</x:v>
      </x:c>
    </x:row>
  </x:sheetData>
  <x:pageMargins left="0.7" right="0.7" top="0.75" bottom="0.75" header="0.3" footer="0.3"/>
  <x:tableParts count="2">
    <x:tablePart xmlns:r="http://schemas.openxmlformats.org/officeDocument/2006/relationships" r:id="Rf78ea859365344b8"/>
    <x:tablePart xmlns:r="http://schemas.openxmlformats.org/officeDocument/2006/relationships" r:id="R3dbdf54cb5b4430f"/>
  </x:tableParts>
</x:worksheet>
</file>